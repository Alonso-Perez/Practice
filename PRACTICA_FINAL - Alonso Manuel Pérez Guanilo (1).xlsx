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3.xml" ContentType="application/vnd.openxmlformats-officedocument.drawingml.char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13_ncr:1_{60114FC1-1944-4459-B2D7-0E33472EB809}" xr6:coauthVersionLast="47" xr6:coauthVersionMax="47" xr10:uidLastSave="{00000000-0000-0000-0000-000000000000}"/>
  <bookViews>
    <workbookView xWindow="-108" yWindow="-108" windowWidth="23256" windowHeight="12456" tabRatio="987" firstSheet="9" activeTab="20" xr2:uid="{00000000-000D-0000-FFFF-FFFF00000000}"/>
  </bookViews>
  <sheets>
    <sheet name="PREGUNTAS" sheetId="29" r:id="rId1"/>
    <sheet name="BASE1" sheetId="30" r:id="rId2"/>
    <sheet name="TD1" sheetId="31" r:id="rId3"/>
    <sheet name="TD2" sheetId="32" r:id="rId4"/>
    <sheet name="BLANCA" sheetId="34" r:id="rId5"/>
    <sheet name="COMPUTO" sheetId="33" r:id="rId6"/>
    <sheet name="TABLA_CONSOL" sheetId="26" r:id="rId7"/>
    <sheet name="MUJERES" sheetId="27" r:id="rId8"/>
    <sheet name="HOMBRES" sheetId="28" r:id="rId9"/>
    <sheet name="CONSOL" sheetId="21" r:id="rId10"/>
    <sheet name="CONSOL HOJA" sheetId="37" r:id="rId11"/>
    <sheet name="FORM_COND" sheetId="9" r:id="rId12"/>
    <sheet name="FORM_COND_FORM" sheetId="10" r:id="rId13"/>
    <sheet name="ADM_ESC" sheetId="11" r:id="rId14"/>
    <sheet name="Resumen del escenario" sheetId="38" r:id="rId15"/>
    <sheet name="SOLVER " sheetId="15" r:id="rId16"/>
    <sheet name="SOLVER2 " sheetId="16" r:id="rId17"/>
    <sheet name="TAB_DAT " sheetId="17" r:id="rId18"/>
    <sheet name="MATRIZ" sheetId="18" r:id="rId19"/>
    <sheet name="ESTAD" sheetId="19" r:id="rId20"/>
    <sheet name="PRONO_TEND" sheetId="20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" localSheetId="9" hidden="1">{#N/A,#N/A,FALSE,"Resumen de escenario"}</definedName>
    <definedName name="a" hidden="1">{#N/A,#N/A,FALSE,"Resumen de escenario"}</definedName>
    <definedName name="ABRIL">#REF!</definedName>
    <definedName name="AFP">#REF!</definedName>
    <definedName name="afps">#REF!</definedName>
    <definedName name="al" hidden="1">{#N/A,#N/A,FALSE,"Resumen de escenario"}</definedName>
    <definedName name="ale" hidden="1">{#N/A,#N/A,FALSE,"Resumen de escenario"}</definedName>
    <definedName name="ales" hidden="1">#REF!,#REF!</definedName>
    <definedName name="Alquiler">ADM_ESC!$C$9</definedName>
    <definedName name="anscount" hidden="1">3</definedName>
    <definedName name="Año">'[1]tabla dinamica'!$B$2:$B$25</definedName>
    <definedName name="AREA1">'[2]Base de Datos'!$B$3:$B$6</definedName>
    <definedName name="AREA2">'[2]Base de Datos'!$D$3:$D$6</definedName>
    <definedName name="AREAS">#REF!</definedName>
    <definedName name="asd" hidden="1">#REF!</definedName>
    <definedName name="BANCO">[3]banco!#REF!</definedName>
    <definedName name="BASE">#REF!</definedName>
    <definedName name="base1">#REF!</definedName>
    <definedName name="base2">#REF!</definedName>
    <definedName name="BASE3">#REF!</definedName>
    <definedName name="base4">'[4]FUNC DE BASE DE DATOS'!$A$1:$H$33</definedName>
    <definedName name="baseCliente">#REF!</definedName>
    <definedName name="BASER2">#REF!</definedName>
    <definedName name="BONO">#REF!</definedName>
    <definedName name="BUSCAR">#REF!</definedName>
    <definedName name="Campeonatos_Ganados">#REF!</definedName>
    <definedName name="CIUDAD">#REF!</definedName>
    <definedName name="Cliente">'[1]tabla dinamica'!$A$2:$A$25</definedName>
    <definedName name="Clientes">#REF!</definedName>
    <definedName name="Comuna">#REF!</definedName>
    <definedName name="CONDICION">#REF!</definedName>
    <definedName name="contenido2" hidden="1">#REF!</definedName>
    <definedName name="criterio">#REF!</definedName>
    <definedName name="Cruz_Blanca">'[5]Hoja1 (4)'!#REF!</definedName>
    <definedName name="CruzBlanca">#REF!</definedName>
    <definedName name="datos">#REF!</definedName>
    <definedName name="dd">'[6]tabla (3)'!$A$1:$D$5</definedName>
    <definedName name="ddd">#REF!</definedName>
    <definedName name="dddrr">#REF!</definedName>
    <definedName name="DEPTO">#REF!</definedName>
    <definedName name="DESC._AFP">#REF!</definedName>
    <definedName name="DESC._ISAPRE">#REF!</definedName>
    <definedName name="DIRECCION">#REF!</definedName>
    <definedName name="dolar">'[1]tabla dinamica'!$B$27</definedName>
    <definedName name="DPTO.">#REF!</definedName>
    <definedName name="fdg">#REF!</definedName>
    <definedName name="ff" hidden="1">2</definedName>
    <definedName name="final">#REF!</definedName>
    <definedName name="Fonasa">#REF!</definedName>
    <definedName name="funciones">#REF!</definedName>
    <definedName name="GONZALEZ">#REF!</definedName>
    <definedName name="Habitat">#REF!</definedName>
    <definedName name="hh">#REF!</definedName>
    <definedName name="hhh">#REF!</definedName>
    <definedName name="ISAPRE">#REF!</definedName>
    <definedName name="isapres">#REF!</definedName>
    <definedName name="jjjj">#REF!</definedName>
    <definedName name="limcount" hidden="1">3</definedName>
    <definedName name="lopu" hidden="1">2</definedName>
    <definedName name="lplp" hidden="1">3</definedName>
    <definedName name="Marca">#REF!</definedName>
    <definedName name="Marketing">ADM_ESC!$C$11</definedName>
    <definedName name="Martes_20_05_2008">[7]Sheet1!#REF!</definedName>
    <definedName name="MAYO">'[8]Hoja2 (2)'!$A$9:$K$13</definedName>
    <definedName name="Mes">'[1]tabla dinamica'!$C$2:$C$25</definedName>
    <definedName name="Monto">'[1]tabla dinamica'!$D$2:$D$25</definedName>
    <definedName name="Monto_Pagado">#REF!</definedName>
    <definedName name="MONTOS">#REF!</definedName>
    <definedName name="Mora">#REF!</definedName>
    <definedName name="N__de_cajas">#REF!</definedName>
    <definedName name="N__de_personal">#REF!</definedName>
    <definedName name="NativeTimeline_FECHA">#N/A</definedName>
    <definedName name="NativeTimeline_FECHA1">#N/A</definedName>
    <definedName name="Notas">#REF!</definedName>
    <definedName name="nuevo" hidden="1">2</definedName>
    <definedName name="PAGAR">#REF!</definedName>
    <definedName name="Planvital">#REF!</definedName>
    <definedName name="practicas">#REF!</definedName>
    <definedName name="Premio1">#REF!</definedName>
    <definedName name="Premio2">#REF!</definedName>
    <definedName name="PRESTAMOS">#REF!</definedName>
    <definedName name="Producto">'[1]tabla dinamica'!$E$2:$E$25</definedName>
    <definedName name="Productos">#REF!</definedName>
    <definedName name="profesion">#REF!</definedName>
    <definedName name="PROM_FINAL">#REF!</definedName>
    <definedName name="PROM_PRACT">#REF!</definedName>
    <definedName name="Promepart">#REF!</definedName>
    <definedName name="Provida">#REF!</definedName>
    <definedName name="PROYECTOS">[9]Hoja6!#REF!</definedName>
    <definedName name="Publicidad">ADM_ESC!$C$10</definedName>
    <definedName name="referencia">[4]BUSCARV!$N$15:$O$17</definedName>
    <definedName name="Región">'[1]tabla dinamica'!$F$2:$F$25</definedName>
    <definedName name="rr">#REF!</definedName>
    <definedName name="RUT">#REF!</definedName>
    <definedName name="SASASA">#REF!</definedName>
    <definedName name="SegmentaciónDeDatos_REGION">#N/A</definedName>
    <definedName name="SegmentaciónDeDatos_REGION1">#N/A</definedName>
    <definedName name="SegmentaciónDeDatos_REPRESENTANTE">#N/A</definedName>
    <definedName name="SegmentaciónDeDatos_REPRESENTANTE1">#N/A</definedName>
    <definedName name="sencount" hidden="1">1</definedName>
    <definedName name="SERVICIOS">[9]Hoja6!$C$7:$G$7</definedName>
    <definedName name="SITUACION">#REF!</definedName>
    <definedName name="solver_adj" localSheetId="9" hidden="1">#REF!,#REF!</definedName>
    <definedName name="solver_adj" localSheetId="15" hidden="1">'SOLVER '!$D$7:$D$11</definedName>
    <definedName name="solver_adj" localSheetId="16" hidden="1">'SOLVER2 '!$D$14,'SOLVER2 '!$D$18,'SOLVER2 '!$D$22</definedName>
    <definedName name="solver_adj" hidden="1">#REF!,#REF!</definedName>
    <definedName name="solver_cvg" localSheetId="15" hidden="1">0.0001</definedName>
    <definedName name="solver_cvg" localSheetId="16" hidden="1">0.0001</definedName>
    <definedName name="solver_cvg" hidden="1">0.001</definedName>
    <definedName name="solver_drv" localSheetId="15" hidden="1">1</definedName>
    <definedName name="solver_drv" localSheetId="16" hidden="1">1</definedName>
    <definedName name="solver_drv" hidden="1">1</definedName>
    <definedName name="solver_eng" localSheetId="15" hidden="1">2</definedName>
    <definedName name="solver_eng" localSheetId="16" hidden="1">2</definedName>
    <definedName name="solver_est" localSheetId="15" hidden="1">1</definedName>
    <definedName name="solver_est" localSheetId="16" hidden="1">1</definedName>
    <definedName name="solver_est" hidden="1">1</definedName>
    <definedName name="solver_itr" localSheetId="15" hidden="1">2147483647</definedName>
    <definedName name="solver_itr" localSheetId="16" hidden="1">2147483647</definedName>
    <definedName name="solver_itr" hidden="1">100</definedName>
    <definedName name="solver_lhs1" localSheetId="9" hidden="1">#REF!</definedName>
    <definedName name="solver_lhs1" localSheetId="15" hidden="1">'SOLVER '!$D$7:$D$11</definedName>
    <definedName name="solver_lhs1" localSheetId="16" hidden="1">'SOLVER2 '!$D$14</definedName>
    <definedName name="solver_lhs1" hidden="1">#REF!</definedName>
    <definedName name="solver_lhs2" localSheetId="15" hidden="1">'SOLVER '!$D$7:$D$11</definedName>
    <definedName name="solver_lhs2" localSheetId="16" hidden="1">'SOLVER2 '!$D$14</definedName>
    <definedName name="solver_lhs3" localSheetId="16" hidden="1">'SOLVER2 '!$D$18</definedName>
    <definedName name="solver_lhs4" localSheetId="16" hidden="1">'SOLVER2 '!$D$18</definedName>
    <definedName name="solver_lhs5" localSheetId="16" hidden="1">'SOLVER2 '!$D$22</definedName>
    <definedName name="solver_lhs6" localSheetId="16" hidden="1">'SOLVER2 '!$D$22</definedName>
    <definedName name="solver_lhs7" localSheetId="16" hidden="1">'SOLVER2 '!$D$25</definedName>
    <definedName name="solver_lin" hidden="1">2</definedName>
    <definedName name="solver_mip" localSheetId="15" hidden="1">2147483647</definedName>
    <definedName name="solver_mip" localSheetId="16" hidden="1">2147483647</definedName>
    <definedName name="solver_mni" localSheetId="15" hidden="1">30</definedName>
    <definedName name="solver_mni" localSheetId="16" hidden="1">30</definedName>
    <definedName name="solver_mrt" localSheetId="15" hidden="1">0.075</definedName>
    <definedName name="solver_mrt" localSheetId="16" hidden="1">0.075</definedName>
    <definedName name="solver_msl" localSheetId="15" hidden="1">2</definedName>
    <definedName name="solver_msl" localSheetId="16" hidden="1">2</definedName>
    <definedName name="solver_neg" localSheetId="15" hidden="1">1</definedName>
    <definedName name="solver_neg" localSheetId="16" hidden="1">1</definedName>
    <definedName name="solver_neg" hidden="1">2</definedName>
    <definedName name="solver_nod" localSheetId="15" hidden="1">2147483647</definedName>
    <definedName name="solver_nod" localSheetId="16" hidden="1">2147483647</definedName>
    <definedName name="solver_num" localSheetId="15" hidden="1">1</definedName>
    <definedName name="solver_num" localSheetId="16" hidden="1">7</definedName>
    <definedName name="solver_num" hidden="1">1</definedName>
    <definedName name="solver_nwt" localSheetId="15" hidden="1">1</definedName>
    <definedName name="solver_nwt" localSheetId="16" hidden="1">1</definedName>
    <definedName name="solver_nwt" hidden="1">1</definedName>
    <definedName name="solver_opt" localSheetId="9" hidden="1">#REF!</definedName>
    <definedName name="solver_opt" localSheetId="15" hidden="1">'SOLVER '!$F$12</definedName>
    <definedName name="solver_opt" localSheetId="16" hidden="1">'SOLVER2 '!$D$25</definedName>
    <definedName name="solver_opt" hidden="1">#REF!</definedName>
    <definedName name="solver_pre" localSheetId="15" hidden="1">0.000001</definedName>
    <definedName name="solver_pre" localSheetId="16" hidden="1">0.000001</definedName>
    <definedName name="solver_pre" hidden="1">0.000001</definedName>
    <definedName name="solver_rbv" localSheetId="15" hidden="1">1</definedName>
    <definedName name="solver_rbv" localSheetId="16" hidden="1">1</definedName>
    <definedName name="solver_rel1" localSheetId="15" hidden="1">3</definedName>
    <definedName name="solver_rel1" localSheetId="16" hidden="1">1</definedName>
    <definedName name="solver_rel1" hidden="1">2</definedName>
    <definedName name="solver_rel2" localSheetId="15" hidden="1">3</definedName>
    <definedName name="solver_rel2" localSheetId="16" hidden="1">4</definedName>
    <definedName name="solver_rel3" localSheetId="16" hidden="1">1</definedName>
    <definedName name="solver_rel4" localSheetId="16" hidden="1">4</definedName>
    <definedName name="solver_rel5" localSheetId="16" hidden="1">1</definedName>
    <definedName name="solver_rel6" localSheetId="16" hidden="1">4</definedName>
    <definedName name="solver_rel7" localSheetId="16" hidden="1">1</definedName>
    <definedName name="solver_rhs1" localSheetId="15" hidden="1">1</definedName>
    <definedName name="solver_rhs1" localSheetId="16" hidden="1">'SOLVER2 '!$G$13</definedName>
    <definedName name="solver_rhs1" hidden="1">6</definedName>
    <definedName name="solver_rhs2" localSheetId="15" hidden="1">1</definedName>
    <definedName name="solver_rhs2" localSheetId="16" hidden="1">"entero"</definedName>
    <definedName name="solver_rhs3" localSheetId="16" hidden="1">'SOLVER2 '!$G$14</definedName>
    <definedName name="solver_rhs4" localSheetId="16" hidden="1">"entero"</definedName>
    <definedName name="solver_rhs5" localSheetId="16" hidden="1">'SOLVER2 '!$G$15</definedName>
    <definedName name="solver_rhs6" localSheetId="16" hidden="1">"entero"</definedName>
    <definedName name="solver_rhs7" localSheetId="16" hidden="1">59999999.99</definedName>
    <definedName name="solver_rlx" localSheetId="15" hidden="1">2</definedName>
    <definedName name="solver_rlx" localSheetId="16" hidden="1">2</definedName>
    <definedName name="solver_rsd" localSheetId="15" hidden="1">0</definedName>
    <definedName name="solver_rsd" localSheetId="16" hidden="1">0</definedName>
    <definedName name="solver_scl" localSheetId="15" hidden="1">1</definedName>
    <definedName name="solver_scl" localSheetId="16" hidden="1">1</definedName>
    <definedName name="solver_scl" hidden="1">2</definedName>
    <definedName name="solver_sho" localSheetId="15" hidden="1">2</definedName>
    <definedName name="solver_sho" localSheetId="16" hidden="1">2</definedName>
    <definedName name="solver_sho" hidden="1">2</definedName>
    <definedName name="solver_ssz" localSheetId="15" hidden="1">100</definedName>
    <definedName name="solver_ssz" localSheetId="16" hidden="1">100</definedName>
    <definedName name="solver_tim" localSheetId="15" hidden="1">2147483647</definedName>
    <definedName name="solver_tim" localSheetId="16" hidden="1">2147483647</definedName>
    <definedName name="solver_tim" hidden="1">100</definedName>
    <definedName name="solver_tol" localSheetId="15" hidden="1">0.01</definedName>
    <definedName name="solver_tol" localSheetId="16" hidden="1">0.01</definedName>
    <definedName name="solver_tol" hidden="1">0.05</definedName>
    <definedName name="solver_typ" localSheetId="15" hidden="1">3</definedName>
    <definedName name="solver_typ" localSheetId="16" hidden="1">1</definedName>
    <definedName name="solver_typ" hidden="1">3</definedName>
    <definedName name="solver_val" localSheetId="15" hidden="1">10000</definedName>
    <definedName name="solver_val" localSheetId="16" hidden="1">59999</definedName>
    <definedName name="solver_val" hidden="1">4.5</definedName>
    <definedName name="solver_ver" localSheetId="15" hidden="1">3</definedName>
    <definedName name="solver_ver" localSheetId="16" hidden="1">3</definedName>
    <definedName name="ss">#REF!</definedName>
    <definedName name="STATUS">#REF!</definedName>
    <definedName name="SUCURSAL">#REF!</definedName>
    <definedName name="SUCURSALES">#REF!</definedName>
    <definedName name="SUELDO_BASE">#REF!</definedName>
    <definedName name="SUELDO_BRUTO">#REF!</definedName>
    <definedName name="SUELDO_TOTAL">#REF!</definedName>
    <definedName name="Summa">#REF!</definedName>
    <definedName name="Supermercado">#REF!</definedName>
    <definedName name="tabla">#REF!</definedName>
    <definedName name="tablap4">#REF!</definedName>
    <definedName name="TABLITA">'[6]tabla (2)'!$A$1:$D$5</definedName>
    <definedName name="TIPO">#REF!</definedName>
    <definedName name="todos">#REF!</definedName>
    <definedName name="Transporte">ADM_ESC!$C$13</definedName>
    <definedName name="tttt">#REF!</definedName>
    <definedName name="UBIC.">#REF!</definedName>
    <definedName name="UF">#REF!</definedName>
    <definedName name="UserID">#REF!</definedName>
    <definedName name="UTILIDAD">ADM_ESC!$C$16</definedName>
    <definedName name="VENTAS">#REF!</definedName>
    <definedName name="Viaticos">ADM_ESC!$C$12</definedName>
    <definedName name="wrn.Sce._.01." localSheetId="9" hidden="1">{#N/A,#N/A,FALSE,"Resumen de escenario"}</definedName>
    <definedName name="wrn.Sce._.01." hidden="1">{#N/A,#N/A,FALSE,"Resumen de escenario"}</definedName>
  </definedNames>
  <calcPr calcId="191029"/>
  <pivotCaches>
    <pivotCache cacheId="0" r:id="rId31"/>
    <pivotCache cacheId="1" r:id="rId32"/>
    <pivotCache cacheId="2" r:id="rId33"/>
  </pivotCaches>
  <extLst>
    <ext xmlns:x14="http://schemas.microsoft.com/office/spreadsheetml/2009/9/main" uri="{BBE1A952-AA13-448e-AADC-164F8A28A991}">
      <x14:slicerCaches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8"/>
        <x15:timelineCacheRef r:id="rId3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20" l="1"/>
  <c r="F15" i="20"/>
  <c r="E23" i="20"/>
  <c r="F9" i="20"/>
  <c r="N38" i="18"/>
  <c r="H38" i="18" a="1"/>
  <c r="H38" i="18" s="1"/>
  <c r="C20" i="18"/>
  <c r="C19" i="18"/>
  <c r="F10" i="18" a="1"/>
  <c r="F10" i="18" s="1"/>
  <c r="C6" i="17"/>
  <c r="C8" i="17"/>
  <c r="F10" i="17" s="1"/>
  <c r="D25" i="16"/>
  <c r="D23" i="16"/>
  <c r="D19" i="16"/>
  <c r="D15" i="16"/>
  <c r="E7" i="37" l="1"/>
  <c r="F7" i="37"/>
  <c r="E8" i="37"/>
  <c r="F8" i="37"/>
  <c r="E9" i="37"/>
  <c r="F9" i="37"/>
  <c r="E10" i="37"/>
  <c r="F10" i="37"/>
  <c r="E11" i="37"/>
  <c r="F11" i="37"/>
  <c r="E12" i="37"/>
  <c r="F12" i="37"/>
  <c r="E13" i="37"/>
  <c r="F13" i="37"/>
  <c r="E14" i="37"/>
  <c r="F14" i="37"/>
  <c r="E15" i="37"/>
  <c r="F15" i="37"/>
  <c r="E16" i="37"/>
  <c r="F16" i="37"/>
  <c r="E17" i="37"/>
  <c r="F17" i="37"/>
  <c r="E18" i="37"/>
  <c r="F18" i="37"/>
  <c r="E19" i="37"/>
  <c r="F19" i="37"/>
  <c r="E20" i="37"/>
  <c r="F20" i="37"/>
  <c r="E21" i="37"/>
  <c r="F21" i="37"/>
  <c r="E22" i="37"/>
  <c r="F22" i="37"/>
  <c r="N13" i="21"/>
  <c r="I13" i="21"/>
  <c r="N12" i="21"/>
  <c r="I12" i="21"/>
  <c r="N11" i="21"/>
  <c r="I11" i="21"/>
  <c r="N10" i="21"/>
  <c r="I10" i="21"/>
  <c r="C10" i="21"/>
  <c r="F11" i="15" l="1"/>
  <c r="F10" i="15"/>
  <c r="F9" i="15"/>
  <c r="F8" i="15"/>
  <c r="F7" i="15"/>
  <c r="F12" i="15" l="1"/>
  <c r="F15" i="15" s="1"/>
  <c r="F17" i="15" s="1"/>
  <c r="F18" i="15" s="1"/>
  <c r="C14" i="11" l="1"/>
  <c r="C7" i="11"/>
  <c r="C1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CAMARENA</author>
  </authors>
  <commentList>
    <comment ref="O28" authorId="0" shapeId="0" xr:uid="{1447400C-33A9-4EE8-9D6C-835583AFD160}">
      <text>
        <r>
          <rPr>
            <b/>
            <sz val="9"/>
            <color indexed="81"/>
            <rFont val="Tahoma"/>
            <family val="2"/>
          </rPr>
          <t>CAMARENA:</t>
        </r>
        <r>
          <rPr>
            <sz val="9"/>
            <color indexed="81"/>
            <rFont val="Tahoma"/>
            <family val="2"/>
          </rPr>
          <t xml:space="preserve">
MODULO BASICO</t>
        </r>
      </text>
    </comment>
    <comment ref="Q28" authorId="0" shapeId="0" xr:uid="{1866787C-FB1F-4393-B322-B8159AE930B3}">
      <text>
        <r>
          <rPr>
            <b/>
            <sz val="9"/>
            <color indexed="81"/>
            <rFont val="Tahoma"/>
            <family val="2"/>
          </rPr>
          <t>CAMARENA:</t>
        </r>
        <r>
          <rPr>
            <sz val="9"/>
            <color indexed="81"/>
            <rFont val="Tahoma"/>
            <family val="2"/>
          </rPr>
          <t xml:space="preserve">
MODULO BASICO_INTERMEDIO1</t>
        </r>
      </text>
    </comment>
    <comment ref="S28" authorId="0" shapeId="0" xr:uid="{4401C579-B036-4D22-A275-0BD3D64F063B}">
      <text>
        <r>
          <rPr>
            <b/>
            <sz val="9"/>
            <color indexed="81"/>
            <rFont val="Tahoma"/>
            <family val="2"/>
          </rPr>
          <t>CAMARENA:</t>
        </r>
        <r>
          <rPr>
            <sz val="9"/>
            <color indexed="81"/>
            <rFont val="Tahoma"/>
            <family val="2"/>
          </rPr>
          <t xml:space="preserve">
MODULO INTERMEDIO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<sst xmlns="http://schemas.openxmlformats.org/spreadsheetml/2006/main" count="3040" uniqueCount="1039">
  <si>
    <t>TOTAL</t>
  </si>
  <si>
    <t>PRACTICA MODULO AVANZADO1</t>
  </si>
  <si>
    <t>Insertar formato tabla, centrar las celdas y poner formato moneda si corresponde</t>
  </si>
  <si>
    <t>Apellido Paterno</t>
  </si>
  <si>
    <t>Nombre</t>
  </si>
  <si>
    <t>Distrito</t>
  </si>
  <si>
    <t>Ingreso 1</t>
  </si>
  <si>
    <t>Ingreso 2</t>
  </si>
  <si>
    <t>Ingreso 3</t>
  </si>
  <si>
    <t>Departamento</t>
  </si>
  <si>
    <t>ACOSTA</t>
  </si>
  <si>
    <t>Alberto Bernardo</t>
  </si>
  <si>
    <t>Lurin</t>
  </si>
  <si>
    <t>Contabilidad</t>
  </si>
  <si>
    <t>Color amarillo+Relleno plomo los 5 montos mas altos</t>
  </si>
  <si>
    <t>ADRIANZEN</t>
  </si>
  <si>
    <t>Alberto Reynaldo</t>
  </si>
  <si>
    <t>La Molina</t>
  </si>
  <si>
    <t>Finanzas</t>
  </si>
  <si>
    <t>Color azul+relleno rosa 3 montos mas bajos</t>
  </si>
  <si>
    <t>AGUINAGA</t>
  </si>
  <si>
    <t>Aldo</t>
  </si>
  <si>
    <t>Producción</t>
  </si>
  <si>
    <t>AGUIRRE</t>
  </si>
  <si>
    <t>Aldo Alexis</t>
  </si>
  <si>
    <t>Chorrillos</t>
  </si>
  <si>
    <t>AITA</t>
  </si>
  <si>
    <t>Alejandro</t>
  </si>
  <si>
    <t>Jesús María</t>
  </si>
  <si>
    <t>Marketing</t>
  </si>
  <si>
    <t>ICONOS</t>
  </si>
  <si>
    <t>Barra de Datos=VERDE</t>
  </si>
  <si>
    <t>ALARCO</t>
  </si>
  <si>
    <t>La Punta</t>
  </si>
  <si>
    <t>&lt; 2,000</t>
  </si>
  <si>
    <t>Sueldo Maximo</t>
  </si>
  <si>
    <t>ALARCON</t>
  </si>
  <si>
    <t>San Isidro</t>
  </si>
  <si>
    <t>&gt;= 2,000 &lt; 3,000</t>
  </si>
  <si>
    <t>ALJOVIN</t>
  </si>
  <si>
    <t>Alejandro Dante</t>
  </si>
  <si>
    <t>&gt;= 3,000</t>
  </si>
  <si>
    <t>Alejandro Arturo</t>
  </si>
  <si>
    <t>ALMENARA</t>
  </si>
  <si>
    <t>Alejandro Gustavo</t>
  </si>
  <si>
    <t>ALONSO</t>
  </si>
  <si>
    <t>Alejandro Hernán</t>
  </si>
  <si>
    <t>Miraflores</t>
  </si>
  <si>
    <t>Resaltar de color amarillo los montos superiores al promedio</t>
  </si>
  <si>
    <t>ALVAREZ</t>
  </si>
  <si>
    <t>Alex Fernando</t>
  </si>
  <si>
    <t>Santiago de Surco</t>
  </si>
  <si>
    <t>Resaltar de color morado los montos inferiores al promedio</t>
  </si>
  <si>
    <t>ALVAREZ CALDERON</t>
  </si>
  <si>
    <t>Alexander</t>
  </si>
  <si>
    <t>ALZAMORA</t>
  </si>
  <si>
    <t>Alfonso</t>
  </si>
  <si>
    <t>Barranco</t>
  </si>
  <si>
    <t>AMORRORTU</t>
  </si>
  <si>
    <t>Alfredo</t>
  </si>
  <si>
    <t>RELLENO:</t>
  </si>
  <si>
    <t>ANAYA</t>
  </si>
  <si>
    <t>Color</t>
  </si>
  <si>
    <t>ANSELMI</t>
  </si>
  <si>
    <t>Allan Carlos</t>
  </si>
  <si>
    <t>APARICIO</t>
  </si>
  <si>
    <t>Alonso</t>
  </si>
  <si>
    <t>ARAUJO</t>
  </si>
  <si>
    <t>ARIAS</t>
  </si>
  <si>
    <t>Alvaro</t>
  </si>
  <si>
    <t>ARRIETA</t>
  </si>
  <si>
    <t>ARRIOLA</t>
  </si>
  <si>
    <t>ARTETA</t>
  </si>
  <si>
    <t>Alvaro Alonso</t>
  </si>
  <si>
    <t>ASCENZO</t>
  </si>
  <si>
    <t>ASPILLAGA</t>
  </si>
  <si>
    <t>Alvaro Eduardo</t>
  </si>
  <si>
    <t>AZA</t>
  </si>
  <si>
    <t>Alvaro Manuel</t>
  </si>
  <si>
    <t>BACA</t>
  </si>
  <si>
    <t>Alvaro Mauricio</t>
  </si>
  <si>
    <t>BALBI</t>
  </si>
  <si>
    <t>Alvaro Roberto</t>
  </si>
  <si>
    <t>Lince</t>
  </si>
  <si>
    <t>BALLEN</t>
  </si>
  <si>
    <t>Andre Marcel</t>
  </si>
  <si>
    <t>BARCELOS</t>
  </si>
  <si>
    <t>Andrés</t>
  </si>
  <si>
    <t>BARDELLI</t>
  </si>
  <si>
    <t>Andrés Hernán</t>
  </si>
  <si>
    <t>BARREDA</t>
  </si>
  <si>
    <t>Andrés Vladimir</t>
  </si>
  <si>
    <t>BAST</t>
  </si>
  <si>
    <t>Antonio Javier</t>
  </si>
  <si>
    <t>BELLO</t>
  </si>
  <si>
    <t>Arturo Jorge</t>
  </si>
  <si>
    <t>BENAVENTE</t>
  </si>
  <si>
    <t>Augusto</t>
  </si>
  <si>
    <t>Magdalena</t>
  </si>
  <si>
    <t>BENAVIDES</t>
  </si>
  <si>
    <t>Augusto Felipe</t>
  </si>
  <si>
    <t>San Miguel</t>
  </si>
  <si>
    <t>Augusto Javier</t>
  </si>
  <si>
    <t>BERMUDEZ</t>
  </si>
  <si>
    <t>Benjamín</t>
  </si>
  <si>
    <t>BERNAL</t>
  </si>
  <si>
    <t>Benjamín Eduardo</t>
  </si>
  <si>
    <t>BIANCATO</t>
  </si>
  <si>
    <t>Bruno</t>
  </si>
  <si>
    <t>Surquillo</t>
  </si>
  <si>
    <t>BOLUARTE</t>
  </si>
  <si>
    <t>Bruno Marco</t>
  </si>
  <si>
    <t>BRAMBILLA</t>
  </si>
  <si>
    <t>Bruno Paolo</t>
  </si>
  <si>
    <t>BROU</t>
  </si>
  <si>
    <t>Carlos</t>
  </si>
  <si>
    <t>BURGA</t>
  </si>
  <si>
    <t>Carlos Agustín</t>
  </si>
  <si>
    <t>BURGOS</t>
  </si>
  <si>
    <t>Carlos Alberto</t>
  </si>
  <si>
    <t>BUSTAMANTE</t>
  </si>
  <si>
    <t>CABRERA</t>
  </si>
  <si>
    <t>Carlos Alejandro</t>
  </si>
  <si>
    <t>CACERES</t>
  </si>
  <si>
    <t>Carlos Alfonso</t>
  </si>
  <si>
    <t>CALMELL DEL SOLAR</t>
  </si>
  <si>
    <t>Carlos Emilio</t>
  </si>
  <si>
    <t>CAMINO</t>
  </si>
  <si>
    <t>Carlos Guillermo</t>
  </si>
  <si>
    <t>CAMPBELL</t>
  </si>
  <si>
    <t>CARDENAS</t>
  </si>
  <si>
    <t>Carlos Santiago</t>
  </si>
  <si>
    <t>CARRANZA</t>
  </si>
  <si>
    <t>César Alonso</t>
  </si>
  <si>
    <t>CARRILLO</t>
  </si>
  <si>
    <t>César Augusto</t>
  </si>
  <si>
    <t>César Francisco</t>
  </si>
  <si>
    <t>CASANOVA</t>
  </si>
  <si>
    <t>Christian</t>
  </si>
  <si>
    <t>CASTAÑEDA</t>
  </si>
  <si>
    <t>Christopher</t>
  </si>
  <si>
    <t>Christian Alexander</t>
  </si>
  <si>
    <t>CASTRO</t>
  </si>
  <si>
    <t>Daniel</t>
  </si>
  <si>
    <t>CAYO</t>
  </si>
  <si>
    <t>Daniel Alonso</t>
  </si>
  <si>
    <t>CESPEDES</t>
  </si>
  <si>
    <t>Daniel Federico</t>
  </si>
  <si>
    <t>CHAMOCHUMBI</t>
  </si>
  <si>
    <t>Diego Alonso</t>
  </si>
  <si>
    <t>CHAVEZ</t>
  </si>
  <si>
    <t>CHEHAB</t>
  </si>
  <si>
    <t>Diego Armando</t>
  </si>
  <si>
    <t>CHUECA</t>
  </si>
  <si>
    <t>Diego Gonzalo</t>
  </si>
  <si>
    <t>San Borja</t>
  </si>
  <si>
    <t>COLMENARES</t>
  </si>
  <si>
    <t>Diego</t>
  </si>
  <si>
    <t>CROUSILLAT</t>
  </si>
  <si>
    <t>CROVETTI</t>
  </si>
  <si>
    <t>Diego Agustín</t>
  </si>
  <si>
    <t>CRUZ</t>
  </si>
  <si>
    <t>Diego Alberto</t>
  </si>
  <si>
    <t>CUEVA</t>
  </si>
  <si>
    <t>Diego Alfredo</t>
  </si>
  <si>
    <t>DANJOY</t>
  </si>
  <si>
    <t>Diego José</t>
  </si>
  <si>
    <t>DE BUSTAMANTE</t>
  </si>
  <si>
    <t>Diego Martín</t>
  </si>
  <si>
    <t>DE COSSIO</t>
  </si>
  <si>
    <t>Diego Rafael</t>
  </si>
  <si>
    <t>DE LA COLINA</t>
  </si>
  <si>
    <t>DE LA FUENTE</t>
  </si>
  <si>
    <t>Diego Reynaldo</t>
  </si>
  <si>
    <t>DE LA LAMA</t>
  </si>
  <si>
    <t>Diego Ricardo</t>
  </si>
  <si>
    <t>DE LA PUENTE</t>
  </si>
  <si>
    <t>Dino</t>
  </si>
  <si>
    <t>DE LA TORRE</t>
  </si>
  <si>
    <t>Eduardo</t>
  </si>
  <si>
    <t>DE LOS HEROS</t>
  </si>
  <si>
    <t>DE LOS RIOS</t>
  </si>
  <si>
    <t>Eduardo Agustín</t>
  </si>
  <si>
    <t>DE TRAMONTANA</t>
  </si>
  <si>
    <t>Eduardo Jesús</t>
  </si>
  <si>
    <t>DEACON</t>
  </si>
  <si>
    <t>Eduardo José</t>
  </si>
  <si>
    <t>DEDIOS</t>
  </si>
  <si>
    <t>Eduardo Rodrigo</t>
  </si>
  <si>
    <t>DELGADO</t>
  </si>
  <si>
    <t>Enrique Roberto</t>
  </si>
  <si>
    <t>DEVERCELLI</t>
  </si>
  <si>
    <t>Erick Pablo</t>
  </si>
  <si>
    <t>DIANDERAS</t>
  </si>
  <si>
    <t>Ernesto</t>
  </si>
  <si>
    <t>DIBOS</t>
  </si>
  <si>
    <t>Ernesto Manuel</t>
  </si>
  <si>
    <t>DIEZ CANSECO</t>
  </si>
  <si>
    <t>Essio</t>
  </si>
  <si>
    <t>DUBREUIL</t>
  </si>
  <si>
    <t>Farid</t>
  </si>
  <si>
    <t>DUCASSI</t>
  </si>
  <si>
    <t>Fausto Iván</t>
  </si>
  <si>
    <t>DYER</t>
  </si>
  <si>
    <t>Felipe</t>
  </si>
  <si>
    <t>ECHEVARRIA</t>
  </si>
  <si>
    <t>Fernando</t>
  </si>
  <si>
    <t>Felipe Santiago</t>
  </si>
  <si>
    <t>Felipe Ignacio</t>
  </si>
  <si>
    <t>EGUILUZ</t>
  </si>
  <si>
    <t>ELIAS</t>
  </si>
  <si>
    <t>ESCULIES</t>
  </si>
  <si>
    <t>ESPINOSA</t>
  </si>
  <si>
    <t>Fernando Alfredo</t>
  </si>
  <si>
    <t>FERNANDEZ</t>
  </si>
  <si>
    <t>Flavio Alfredo</t>
  </si>
  <si>
    <t>Fernando Rafael</t>
  </si>
  <si>
    <t>FERRARO</t>
  </si>
  <si>
    <t>Francisco</t>
  </si>
  <si>
    <t>FORTI</t>
  </si>
  <si>
    <t>Franco</t>
  </si>
  <si>
    <t>FRANCO DE SOUZA</t>
  </si>
  <si>
    <t>FREUNDT</t>
  </si>
  <si>
    <t>FU</t>
  </si>
  <si>
    <t>Franco Andrés</t>
  </si>
  <si>
    <t>GADEA</t>
  </si>
  <si>
    <t>Franco Guillermo</t>
  </si>
  <si>
    <t>GALLASTEGUI</t>
  </si>
  <si>
    <t>Gabriel</t>
  </si>
  <si>
    <t>GARBIN</t>
  </si>
  <si>
    <t>Gastón Ignacio</t>
  </si>
  <si>
    <t>GARCIA</t>
  </si>
  <si>
    <t>Gerardo</t>
  </si>
  <si>
    <t>Gian Carlos</t>
  </si>
  <si>
    <t>Gian Carlo</t>
  </si>
  <si>
    <t>GEREDA</t>
  </si>
  <si>
    <t>Gianfranco</t>
  </si>
  <si>
    <t>GEU</t>
  </si>
  <si>
    <t>Gianmarco</t>
  </si>
  <si>
    <t>GIHA</t>
  </si>
  <si>
    <t>Gino</t>
  </si>
  <si>
    <t>GIORLA</t>
  </si>
  <si>
    <t>Gino Emilio</t>
  </si>
  <si>
    <t>GJIVANOVIC</t>
  </si>
  <si>
    <t>Gino Henry</t>
  </si>
  <si>
    <t>Gino Mirko</t>
  </si>
  <si>
    <t>GOICOCHEA</t>
  </si>
  <si>
    <t>Giulio Eduardo</t>
  </si>
  <si>
    <t>GOMEZ</t>
  </si>
  <si>
    <t>Gonzalo</t>
  </si>
  <si>
    <t>GRADOS</t>
  </si>
  <si>
    <t>GRANDEZ</t>
  </si>
  <si>
    <t>GRISOLLE</t>
  </si>
  <si>
    <t>Gonzalo Elehin</t>
  </si>
  <si>
    <t>GUERRERO</t>
  </si>
  <si>
    <t>Gonzalo Javier</t>
  </si>
  <si>
    <t>GUILLEN</t>
  </si>
  <si>
    <t>Gonzalo Rafael</t>
  </si>
  <si>
    <t>GUTIERREZ</t>
  </si>
  <si>
    <t>Gonzalo Sebastián</t>
  </si>
  <si>
    <t>Gustavo</t>
  </si>
  <si>
    <t>Guillermo Antonio</t>
  </si>
  <si>
    <t>GYGAX</t>
  </si>
  <si>
    <t>Gustavo Alberto</t>
  </si>
  <si>
    <t>HAAKER</t>
  </si>
  <si>
    <t>Gustavo Antonio</t>
  </si>
  <si>
    <t>HARMES</t>
  </si>
  <si>
    <t>Gustavo Piero</t>
  </si>
  <si>
    <t>HEUDEBERT</t>
  </si>
  <si>
    <t>Hildebrando</t>
  </si>
  <si>
    <t>HIDALGO</t>
  </si>
  <si>
    <t>Hugo Manuel</t>
  </si>
  <si>
    <t>HILGERT</t>
  </si>
  <si>
    <t>Ian Carlos</t>
  </si>
  <si>
    <t>HIRAOKA</t>
  </si>
  <si>
    <t>Ignacio</t>
  </si>
  <si>
    <t>HOLLER</t>
  </si>
  <si>
    <t>HUAMAN DE LOS HEROS</t>
  </si>
  <si>
    <t>Ignacio Juan Bernardo</t>
  </si>
  <si>
    <t>IBAÑEZ</t>
  </si>
  <si>
    <t>Ignacio Roberto</t>
  </si>
  <si>
    <t>IRIARTE</t>
  </si>
  <si>
    <t>Jaime</t>
  </si>
  <si>
    <t>ISOLA</t>
  </si>
  <si>
    <t>JIMENO</t>
  </si>
  <si>
    <t>Javier</t>
  </si>
  <si>
    <t>Jan Marco</t>
  </si>
  <si>
    <t>KAHN</t>
  </si>
  <si>
    <t>KISIC</t>
  </si>
  <si>
    <t>KISS</t>
  </si>
  <si>
    <t>LA HOZ</t>
  </si>
  <si>
    <t>Javier Alonso</t>
  </si>
  <si>
    <t>LA ROSA</t>
  </si>
  <si>
    <t>Javier Antonio</t>
  </si>
  <si>
    <t>Javier Eduardo</t>
  </si>
  <si>
    <t>LANDAURO</t>
  </si>
  <si>
    <t>Javier Gonzalo</t>
  </si>
  <si>
    <t>LASSUS</t>
  </si>
  <si>
    <t>Javier Manuel</t>
  </si>
  <si>
    <t>LEGUIA</t>
  </si>
  <si>
    <t>Jerzy Luis</t>
  </si>
  <si>
    <t>LEMBCKE</t>
  </si>
  <si>
    <t>Joaquín</t>
  </si>
  <si>
    <t>LEON</t>
  </si>
  <si>
    <t>Jorge Alfredo</t>
  </si>
  <si>
    <t>Jonathan</t>
  </si>
  <si>
    <t>LESCANO</t>
  </si>
  <si>
    <t>Jorge Andrés</t>
  </si>
  <si>
    <t>LI</t>
  </si>
  <si>
    <t>Jorge Antonio</t>
  </si>
  <si>
    <t>La Victoria</t>
  </si>
  <si>
    <t>LICERA</t>
  </si>
  <si>
    <t>Jorge Armando</t>
  </si>
  <si>
    <t>LISTER</t>
  </si>
  <si>
    <t>Jorge Eduardo</t>
  </si>
  <si>
    <t>Jorge Enrique</t>
  </si>
  <si>
    <t>LIZARZABURU</t>
  </si>
  <si>
    <t>LLAMOSAS</t>
  </si>
  <si>
    <t>José Alonso</t>
  </si>
  <si>
    <t>LOAYZA</t>
  </si>
  <si>
    <t>Jorge Fernando</t>
  </si>
  <si>
    <t>LORET DE MOLA</t>
  </si>
  <si>
    <t>Jorge Omar</t>
  </si>
  <si>
    <t>Chaclacayo</t>
  </si>
  <si>
    <t>Jorge Mauricio</t>
  </si>
  <si>
    <t>LOZANO</t>
  </si>
  <si>
    <t>Jorge Patricio</t>
  </si>
  <si>
    <t>LUNA</t>
  </si>
  <si>
    <t>José Alberto</t>
  </si>
  <si>
    <t>MACEDO</t>
  </si>
  <si>
    <t>José Antonio</t>
  </si>
  <si>
    <t>MAERO</t>
  </si>
  <si>
    <t>MAGNIFICO</t>
  </si>
  <si>
    <t>José Bernardo</t>
  </si>
  <si>
    <t>MALPARTIDA</t>
  </si>
  <si>
    <t>José Carlos</t>
  </si>
  <si>
    <t>MARSANO</t>
  </si>
  <si>
    <t>José Fernando</t>
  </si>
  <si>
    <t>MARTINEZ</t>
  </si>
  <si>
    <t>José Francisco</t>
  </si>
  <si>
    <t>MARTINOT</t>
  </si>
  <si>
    <t>José Galo</t>
  </si>
  <si>
    <t>MAS</t>
  </si>
  <si>
    <t>José Luis</t>
  </si>
  <si>
    <t>MASSA</t>
  </si>
  <si>
    <t>MATA</t>
  </si>
  <si>
    <t>MATELLINI</t>
  </si>
  <si>
    <t>MAZZOTTI</t>
  </si>
  <si>
    <t>José Miguel</t>
  </si>
  <si>
    <t>MENDIVIL</t>
  </si>
  <si>
    <t>José Pablo</t>
  </si>
  <si>
    <t>MENDOZA</t>
  </si>
  <si>
    <t>José Rafael</t>
  </si>
  <si>
    <t>MENENDEZ</t>
  </si>
  <si>
    <t>José Ricardo</t>
  </si>
  <si>
    <t>MERCURIALI</t>
  </si>
  <si>
    <t>José Salvador</t>
  </si>
  <si>
    <t>MIRANDA</t>
  </si>
  <si>
    <t>Juan Carlos</t>
  </si>
  <si>
    <t>MIRO QUESADA</t>
  </si>
  <si>
    <t>MODENESI</t>
  </si>
  <si>
    <t>Juan Climaco</t>
  </si>
  <si>
    <t>MONARD</t>
  </si>
  <si>
    <t>Juan Enrique</t>
  </si>
  <si>
    <t>Juan Diego</t>
  </si>
  <si>
    <t>MONGE</t>
  </si>
  <si>
    <t>Juan Francisco</t>
  </si>
  <si>
    <t>MONTERO</t>
  </si>
  <si>
    <t>Juan José</t>
  </si>
  <si>
    <t>MONZON</t>
  </si>
  <si>
    <t>MORELLI</t>
  </si>
  <si>
    <t>Juan Luis</t>
  </si>
  <si>
    <t>MOSCOL</t>
  </si>
  <si>
    <t>Juan Manuel</t>
  </si>
  <si>
    <t>Ate-Vitarte</t>
  </si>
  <si>
    <t>MURDOCH</t>
  </si>
  <si>
    <t>Juan Pablo</t>
  </si>
  <si>
    <t>NATERS</t>
  </si>
  <si>
    <t>NICOLINI</t>
  </si>
  <si>
    <t>Julio</t>
  </si>
  <si>
    <t>NUÑEZ</t>
  </si>
  <si>
    <t>Laureano</t>
  </si>
  <si>
    <t>OLCESE</t>
  </si>
  <si>
    <t>Luis</t>
  </si>
  <si>
    <t>OLIART</t>
  </si>
  <si>
    <t>Luis Alberto</t>
  </si>
  <si>
    <t>OLIVARES</t>
  </si>
  <si>
    <t>Luís Alberto</t>
  </si>
  <si>
    <t>OTOYA</t>
  </si>
  <si>
    <t>Luis Antonio</t>
  </si>
  <si>
    <t>PACHECO</t>
  </si>
  <si>
    <t>Luis Daniel</t>
  </si>
  <si>
    <t>Luis Augusto</t>
  </si>
  <si>
    <t>PARDO</t>
  </si>
  <si>
    <t>Luis Felipe</t>
  </si>
  <si>
    <t>PELLEGRIN</t>
  </si>
  <si>
    <t>Luis José</t>
  </si>
  <si>
    <t>PEREZ</t>
  </si>
  <si>
    <t>Luis Miguel</t>
  </si>
  <si>
    <t>PESCHIERA</t>
  </si>
  <si>
    <t>Manuel</t>
  </si>
  <si>
    <t>PIQUERAS</t>
  </si>
  <si>
    <t>Manuel Humberto</t>
  </si>
  <si>
    <t>POMAREDA</t>
  </si>
  <si>
    <t>Marco Antonio</t>
  </si>
  <si>
    <t>PONCE</t>
  </si>
  <si>
    <t>POZO</t>
  </si>
  <si>
    <t>Mariano</t>
  </si>
  <si>
    <t>QUMSIYEH</t>
  </si>
  <si>
    <t>Mario Eduardo</t>
  </si>
  <si>
    <t>RAMOS</t>
  </si>
  <si>
    <t>Mario Gonzalo</t>
  </si>
  <si>
    <t>RAZETTO</t>
  </si>
  <si>
    <t>Martín</t>
  </si>
  <si>
    <t>RAZZETO</t>
  </si>
  <si>
    <t>REATEGUI</t>
  </si>
  <si>
    <t>Martín Alonso</t>
  </si>
  <si>
    <t>REMOLINA</t>
  </si>
  <si>
    <t>Martín Gustavo</t>
  </si>
  <si>
    <t>REVOREDO</t>
  </si>
  <si>
    <t>Matteo</t>
  </si>
  <si>
    <t>REY</t>
  </si>
  <si>
    <t>Matthew</t>
  </si>
  <si>
    <t>RIGACCI</t>
  </si>
  <si>
    <t>Mauricio</t>
  </si>
  <si>
    <t>RIZO PATRON</t>
  </si>
  <si>
    <t>Michael John</t>
  </si>
  <si>
    <t>ROBILLIARD</t>
  </si>
  <si>
    <t>Miguel</t>
  </si>
  <si>
    <t>ROBLES</t>
  </si>
  <si>
    <t>RODRIGO</t>
  </si>
  <si>
    <t>Miguel Angel</t>
  </si>
  <si>
    <t>RODRIGUEZ</t>
  </si>
  <si>
    <t>Miguel Carlos</t>
  </si>
  <si>
    <t>ROJAS</t>
  </si>
  <si>
    <t>Miguel Jesús</t>
  </si>
  <si>
    <t>Miguel Gerard</t>
  </si>
  <si>
    <t>ROMERO</t>
  </si>
  <si>
    <t>Nicolás</t>
  </si>
  <si>
    <t>ROSHOLT</t>
  </si>
  <si>
    <t>Nicolás Alessandro</t>
  </si>
  <si>
    <t>ROSSELLO</t>
  </si>
  <si>
    <t>Numa Ricardo</t>
  </si>
  <si>
    <t>RUBINI</t>
  </si>
  <si>
    <t>Orlando Emilio</t>
  </si>
  <si>
    <t>RUILOBA</t>
  </si>
  <si>
    <t>Oscar Manuel</t>
  </si>
  <si>
    <t>RUIZ</t>
  </si>
  <si>
    <t>Otto Antonio</t>
  </si>
  <si>
    <t>SALAZAR</t>
  </si>
  <si>
    <t>Patricio Ian</t>
  </si>
  <si>
    <t>Paul Enrique</t>
  </si>
  <si>
    <t>Patricio Enrique</t>
  </si>
  <si>
    <t>SALKELD</t>
  </si>
  <si>
    <t>Pedro Antonio</t>
  </si>
  <si>
    <t>SAMBUCETI</t>
  </si>
  <si>
    <t>Pedro Gerardo</t>
  </si>
  <si>
    <t>SANCHEZ</t>
  </si>
  <si>
    <t>Pedro Pablo</t>
  </si>
  <si>
    <t>Percy Kenneth</t>
  </si>
  <si>
    <t>Peter Jurgen</t>
  </si>
  <si>
    <t>SANTA MARIA</t>
  </si>
  <si>
    <t>Piero</t>
  </si>
  <si>
    <t>SANTILLANA</t>
  </si>
  <si>
    <t>Pío Pablo</t>
  </si>
  <si>
    <t>SAONA</t>
  </si>
  <si>
    <t>Rafael</t>
  </si>
  <si>
    <t>SARRIA</t>
  </si>
  <si>
    <t>Rafael Alfonso</t>
  </si>
  <si>
    <t>SAVAGE</t>
  </si>
  <si>
    <t>Rafael Andrés</t>
  </si>
  <si>
    <t>SCHROTH</t>
  </si>
  <si>
    <t>Ramón Augusto</t>
  </si>
  <si>
    <t>SEMINO</t>
  </si>
  <si>
    <t>Raúl Antonio</t>
  </si>
  <si>
    <t>SERQUEN</t>
  </si>
  <si>
    <t>Raul Ignacio</t>
  </si>
  <si>
    <t>SERVAT</t>
  </si>
  <si>
    <t>Raúl Javier</t>
  </si>
  <si>
    <t>SESSAREGO</t>
  </si>
  <si>
    <t>Renato</t>
  </si>
  <si>
    <t>SIERRALTA</t>
  </si>
  <si>
    <t>SOTO</t>
  </si>
  <si>
    <t>Renzo</t>
  </si>
  <si>
    <t>SUAREZ</t>
  </si>
  <si>
    <t>Renzo José</t>
  </si>
  <si>
    <t>SUN HAN</t>
  </si>
  <si>
    <t>Renzo Tomás Eduardo</t>
  </si>
  <si>
    <t>TABOADA</t>
  </si>
  <si>
    <t>Ricardo</t>
  </si>
  <si>
    <t>TARNECCI</t>
  </si>
  <si>
    <t>TEPLY</t>
  </si>
  <si>
    <t>TOLEDO</t>
  </si>
  <si>
    <t>Ricardo Antonio</t>
  </si>
  <si>
    <t>TORRES</t>
  </si>
  <si>
    <t>Ricardo Javier</t>
  </si>
  <si>
    <t>TROLL</t>
  </si>
  <si>
    <t>Roberto José</t>
  </si>
  <si>
    <t>TROMBETTA</t>
  </si>
  <si>
    <t>Roberto Manuel</t>
  </si>
  <si>
    <t>UGAS</t>
  </si>
  <si>
    <t>Rodrigo</t>
  </si>
  <si>
    <t>UMBERT</t>
  </si>
  <si>
    <t>URTEAGA</t>
  </si>
  <si>
    <t>VALDEZ</t>
  </si>
  <si>
    <t>VALDIVIA</t>
  </si>
  <si>
    <t>VALDIVIESO</t>
  </si>
  <si>
    <t>VARGAS</t>
  </si>
  <si>
    <t>Rodrigo Antonio</t>
  </si>
  <si>
    <t>VASQUEZ</t>
  </si>
  <si>
    <t>Rodrigo José</t>
  </si>
  <si>
    <t>Rodrigo Enrique</t>
  </si>
  <si>
    <t>VEGA</t>
  </si>
  <si>
    <t>Rodrigo Manuel</t>
  </si>
  <si>
    <t>VELASCO</t>
  </si>
  <si>
    <t>Rufino Daniel</t>
  </si>
  <si>
    <t>VELEZMORO</t>
  </si>
  <si>
    <t>Samuel</t>
  </si>
  <si>
    <t>VELIT</t>
  </si>
  <si>
    <t>Sandro</t>
  </si>
  <si>
    <t>VIAL</t>
  </si>
  <si>
    <t>Sebastián</t>
  </si>
  <si>
    <t>VIDAL</t>
  </si>
  <si>
    <t>VIDALON</t>
  </si>
  <si>
    <t>VILELA</t>
  </si>
  <si>
    <t>VINICZAY</t>
  </si>
  <si>
    <t>Sergio Enrique</t>
  </si>
  <si>
    <t>WAITE</t>
  </si>
  <si>
    <t>Steve Rafael</t>
  </si>
  <si>
    <t>ZAGAZETA</t>
  </si>
  <si>
    <t>Víctor Rafael</t>
  </si>
  <si>
    <t>ZIEGLER</t>
  </si>
  <si>
    <t>Willy Alfredo</t>
  </si>
  <si>
    <t>Willy Humberto</t>
  </si>
  <si>
    <t>ZUZUNAGA</t>
  </si>
  <si>
    <t>Zergio</t>
  </si>
  <si>
    <t>Código</t>
  </si>
  <si>
    <t>Vehículo</t>
  </si>
  <si>
    <t>Zona</t>
  </si>
  <si>
    <t>Cantidad</t>
  </si>
  <si>
    <t>Monto</t>
  </si>
  <si>
    <t>*Crear un formato condicional que dependa de la lista desplegable de Zona</t>
  </si>
  <si>
    <t>HP-101</t>
  </si>
  <si>
    <t>Automóvil</t>
  </si>
  <si>
    <t>Amazonas</t>
  </si>
  <si>
    <t>Norte</t>
  </si>
  <si>
    <t xml:space="preserve">*Seleccionar la fila de la tabla en caso se cumpla el caso </t>
  </si>
  <si>
    <t>HP-090</t>
  </si>
  <si>
    <t>Omnibus</t>
  </si>
  <si>
    <t>Ancash</t>
  </si>
  <si>
    <t xml:space="preserve">(Que no se resalte solo la celda sino la fila entera) --&gt; Utiliza el formato condicional Formula </t>
  </si>
  <si>
    <t>Apurimac</t>
  </si>
  <si>
    <t>Sur</t>
  </si>
  <si>
    <t>HP-115</t>
  </si>
  <si>
    <t>Camioneta</t>
  </si>
  <si>
    <t>Arequipa</t>
  </si>
  <si>
    <t>HP-130</t>
  </si>
  <si>
    <t>Camión</t>
  </si>
  <si>
    <t>Ayacucho</t>
  </si>
  <si>
    <t>Cajamarca</t>
  </si>
  <si>
    <t>Cusco</t>
  </si>
  <si>
    <t>Huancavelica</t>
  </si>
  <si>
    <t>Centro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</si>
  <si>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</si>
  <si>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</si>
  <si>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</si>
  <si>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</si>
  <si>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</si>
  <si>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</si>
  <si>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</si>
  <si>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</si>
  <si>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</si>
  <si>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</si>
  <si>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</si>
  <si>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</si>
  <si>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</si>
  <si>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</si>
  <si>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</si>
  <si>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</si>
  <si>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Proyecto HONDA</t>
  </si>
  <si>
    <t>Crear 03 escenarios donde se pueda evaluar el proyecto y reflejarlo en un resumen y reporte</t>
  </si>
  <si>
    <t>Para ello los escenarios deben variar en sus gastos</t>
  </si>
  <si>
    <t>Presupuesto Honda del Peru</t>
  </si>
  <si>
    <t>Procurar que en los reportes los resultados tengan nombres de rango como lo visto en clase</t>
  </si>
  <si>
    <t>Presupuesto Fastlane</t>
  </si>
  <si>
    <t>Total ingresos</t>
  </si>
  <si>
    <t>Local- Alquiler</t>
  </si>
  <si>
    <t>Publicidad</t>
  </si>
  <si>
    <t>Viaticos</t>
  </si>
  <si>
    <t>Transporte</t>
  </si>
  <si>
    <t>Total gastos</t>
  </si>
  <si>
    <t>Utilidad-Beneficio-Ahorro</t>
  </si>
  <si>
    <t>Aplicar Solver para hallar el precio sea el 10000$, sabiendo que las cantidades deben ser numeros mayores que cero</t>
  </si>
  <si>
    <t>Servidor HP DL 380p G8</t>
  </si>
  <si>
    <t>NRO. DE PARTE</t>
  </si>
  <si>
    <t xml:space="preserve">DESCRIPCION </t>
  </si>
  <si>
    <t>CANTIDAD</t>
  </si>
  <si>
    <t>PRECIO UNIT</t>
  </si>
  <si>
    <t>PRECIO</t>
  </si>
  <si>
    <t>642106-001</t>
  </si>
  <si>
    <t>HP ProLiant DL380p Gen8 High Performance</t>
  </si>
  <si>
    <t>652611-B21</t>
  </si>
  <si>
    <t>HP 300GB 6G SAS 15K 2.5in SC ENT HDD</t>
  </si>
  <si>
    <t>647897-B21</t>
  </si>
  <si>
    <t>HP 8GB 2Rx4 PC3L-10600 Registered  Kit</t>
  </si>
  <si>
    <t>U4506E</t>
  </si>
  <si>
    <t>HP Install ProLiant DL36x Service</t>
  </si>
  <si>
    <t>666988-B21</t>
  </si>
  <si>
    <t>HP 2U Security Bezel Gen8 Kit</t>
  </si>
  <si>
    <t>SUMA</t>
  </si>
  <si>
    <t>% DESCUENTO</t>
  </si>
  <si>
    <t>IMPORTE DSCTO.</t>
  </si>
  <si>
    <t>TOTAL FINAL</t>
  </si>
  <si>
    <t>El ejemplo es el siguiente. Tengo un establecimiento de venta de autos que ofrece 3 tipos de autos</t>
  </si>
  <si>
    <t>Ferrari ($400000) , Lamborgini ($350000) y Porsche($300000)</t>
  </si>
  <si>
    <t>Se necesita ingresos sustanciales pero  ellos trataran de hacer que su total de ventas sea la maxima posible</t>
  </si>
  <si>
    <t xml:space="preserve">Existen restricciones de venta como que los Los ferraris como maximo  deben vender 100, los Lamboginis deben ser maximo 50 </t>
  </si>
  <si>
    <t>y la venta de Porsches como maximo  35. Las cantidades son nros enteros. Por otro lado el total de ventas debe ser menor a 60millones$</t>
  </si>
  <si>
    <t>Establecer un cuadro de Producto / Cantidad de manera que hayemos la cantidad optima por cada autoy utilizar Solver para saber cuanto sera el Total de Ventas</t>
  </si>
  <si>
    <t>El cuadro debe tener su formato correspondiente en su presentacion</t>
  </si>
  <si>
    <t>Hallar el margen de utilidad bruta y utilidad Neta</t>
  </si>
  <si>
    <t>Una vez las formulas halladas:    Crear 1 tablas de datos horizontal que refleje 10 variaciones de impuestos y por consiguientes sus utilidades netas</t>
  </si>
  <si>
    <t>Ventas Totales</t>
  </si>
  <si>
    <t>Costo de Ventas</t>
  </si>
  <si>
    <t>Utilidad Bruta</t>
  </si>
  <si>
    <t>Impuestos</t>
  </si>
  <si>
    <t>Utilidad Neta</t>
  </si>
  <si>
    <t>1 PT</t>
  </si>
  <si>
    <t>PRACTICA MODULO AVANZADO1_2</t>
  </si>
  <si>
    <t>Hallar utilizando una operación matricial , recuerda que es  precio por cantidad y cambia el tipo de cambio para hallar  en formato moneda euros</t>
  </si>
  <si>
    <t>PRECIO UNITARIO</t>
  </si>
  <si>
    <t>EUROS</t>
  </si>
  <si>
    <t>OPERACIÓN MATRICIAL</t>
  </si>
  <si>
    <t>COSTO TOTAL</t>
  </si>
  <si>
    <t>PROMEDIO</t>
  </si>
  <si>
    <t>Funcion Indice</t>
  </si>
  <si>
    <t>Expresar la 2da fila y 3era columna</t>
  </si>
  <si>
    <t>Expresar la 4ta fila y 4ta columna</t>
  </si>
  <si>
    <t>Funcion Desref</t>
  </si>
  <si>
    <t>POSICIONA  LA FILA Y LA COLUMNA INICIAL DE EL CUADRO BASE A PARTIR DE LA CELDA AMARILLA PARA LLEVARLA AL NUMERO 1(PRIMERA FILA Y PRIMERA COLUMNA)</t>
  </si>
  <si>
    <t>LUEGO CONSTRUYE MATRICIALMENTE TODA LA TABLA EN BASE A SU ANCHO Y ALTO Y REPRESENTALA EN EL CUADRO DE EL COSTADO</t>
  </si>
  <si>
    <t>SUMA LOS VALORES DE TODA LA MATRIZ</t>
  </si>
  <si>
    <t>CREAR UN RESUMEN ESTADISTICO CON ESTOS DATOS DE VENTAS ANUALES</t>
  </si>
  <si>
    <t>CREAR UN HISTOGRAMA UTILIZANDO LOS DATOS DE VENTAS ANUALES Y LAS CLASES PROPUESTAS EN EL CUADRO DEL COSTADO</t>
  </si>
  <si>
    <t>VENTAS ANUALES</t>
  </si>
  <si>
    <t>CLASE</t>
  </si>
  <si>
    <t>AÑO</t>
  </si>
  <si>
    <t>PBI</t>
  </si>
  <si>
    <t>HALLAR EL PRONOSTICO DEL PBI PARA EL AÑO 2050</t>
  </si>
  <si>
    <t>UTILIZAR LA FUNCION JERARQUIA PARA DECIRME EN QUE PUESTA ESTA EL MONTO PBI DEL AÑO 2018 DE FORMA ASCENDENTE</t>
  </si>
  <si>
    <t>CREAR UN GRAFICO DE DISPERCION QUE TOME LOS VALORES DEL AÑO 2015 AL 2020 MOSTRANDO SU FORMULA DE TENDENCIA LINEAL Y EXPRESANDOLA EN EL GRAFICO</t>
  </si>
  <si>
    <t>TAMBIEN QUE REFLEJE SU R CUADRADO</t>
  </si>
  <si>
    <t>ECON. ALESSANDRO PASCUA CAMARENA</t>
  </si>
  <si>
    <t>Crear un cuadro lineas abajo consolidando la informacion de estos 3 cuadros correctamente</t>
  </si>
  <si>
    <t>Crear un cuadro en otra hoja  consolidando la informacion de estos 3 cuadros correctamente con vinculos</t>
  </si>
  <si>
    <t>Producto</t>
  </si>
  <si>
    <t>Comision</t>
  </si>
  <si>
    <t>Ventas</t>
  </si>
  <si>
    <t>Diccionarios</t>
  </si>
  <si>
    <t>Enciclopedias</t>
  </si>
  <si>
    <t>Atlas</t>
  </si>
  <si>
    <t>Periodicos</t>
  </si>
  <si>
    <t>PRACTICA 4 MODULO AVANZADO1</t>
  </si>
  <si>
    <t>REPRESENTANTE</t>
  </si>
  <si>
    <t>IMPORTE</t>
  </si>
  <si>
    <t>IGV</t>
  </si>
  <si>
    <t>Janet Lopez</t>
  </si>
  <si>
    <t>Jorge Bardales</t>
  </si>
  <si>
    <t>Margarita Palacios</t>
  </si>
  <si>
    <t>Andres Flores</t>
  </si>
  <si>
    <t>Laura Cabellero</t>
  </si>
  <si>
    <t>Revisar que en la parte de filtros LOS ELEMENTOS SEAN EL TIPO DE SEXO (MASCULINO Y FEMENINO)</t>
  </si>
  <si>
    <t>0.5 PT</t>
  </si>
  <si>
    <t>0.5 PTS</t>
  </si>
  <si>
    <t>1  PTS</t>
  </si>
  <si>
    <t>LIC. ALESSANDRO PASCUA CAMARENA</t>
  </si>
  <si>
    <t>PREGUNTAS</t>
  </si>
  <si>
    <t>0.5 PTS c/u</t>
  </si>
  <si>
    <t>CUAL ES LA DIFERENCIA ENTRE SELECCIONAR DATOS EN BASE A UN RANGO Y EN BASE A UN FORMATO TABLA (ESPECIFICAR LA VENTAJA DE LA TABLA)</t>
  </si>
  <si>
    <t>ES POSIBLE CREAR TABLA DINAMICA SIN GRAFICO DINAMICO? Y CREAR GRAFICO DINAMICO SIN TABLA DINAMICA?</t>
  </si>
  <si>
    <t>FECHA</t>
  </si>
  <si>
    <t>FACTURA</t>
  </si>
  <si>
    <t>RUC</t>
  </si>
  <si>
    <t>CLIENTES</t>
  </si>
  <si>
    <t>REGION</t>
  </si>
  <si>
    <t>LINEA</t>
  </si>
  <si>
    <t>001-10251</t>
  </si>
  <si>
    <t>LABORATORIOS BAGO DEL PERU S.A.</t>
  </si>
  <si>
    <t>OESTE</t>
  </si>
  <si>
    <t>BLANCA</t>
  </si>
  <si>
    <t>001-10252</t>
  </si>
  <si>
    <t>DUKE ENERGY INTERNATIONAL PERU INVESTMEN</t>
  </si>
  <si>
    <t>NORTE</t>
  </si>
  <si>
    <t>001-10253</t>
  </si>
  <si>
    <t>AGA S A</t>
  </si>
  <si>
    <t>CENTRO</t>
  </si>
  <si>
    <t>001-10254</t>
  </si>
  <si>
    <t>COMPANIA UNIVERSAL TEXTIL S.A.</t>
  </si>
  <si>
    <t>ESTE</t>
  </si>
  <si>
    <t>001-10255</t>
  </si>
  <si>
    <t>NEGOCIACIONES JFK S.A.C.</t>
  </si>
  <si>
    <t>001-10256</t>
  </si>
  <si>
    <t>PRODUCTOS TISSUE DEL PERU S.A. O PROTISA</t>
  </si>
  <si>
    <t>COMPUTO</t>
  </si>
  <si>
    <t>001-10257</t>
  </si>
  <si>
    <t>ROSEN PERU S.A.</t>
  </si>
  <si>
    <t>SUR</t>
  </si>
  <si>
    <t>001-10258</t>
  </si>
  <si>
    <t>FCA PERUANA ETERNIT S A</t>
  </si>
  <si>
    <t>001-10259</t>
  </si>
  <si>
    <t>CIPA S.A.</t>
  </si>
  <si>
    <t>001-10260</t>
  </si>
  <si>
    <t>FULL FISH SAC</t>
  </si>
  <si>
    <t>001-10261</t>
  </si>
  <si>
    <t>CONFECCIONES TEXTIMAX S A</t>
  </si>
  <si>
    <t>001-10262</t>
  </si>
  <si>
    <t>CISCO SYSTEMS PERU S.A</t>
  </si>
  <si>
    <t>001-10263</t>
  </si>
  <si>
    <t>INSTITUTO SUPERIOR SAN IGNACIO DE LOYOLA</t>
  </si>
  <si>
    <t>001-10264</t>
  </si>
  <si>
    <t>CORPORACION PERUANA DE PRODUCTOS QUIMICO</t>
  </si>
  <si>
    <t>001-10265</t>
  </si>
  <si>
    <t>BOTICAS FASA SA</t>
  </si>
  <si>
    <t>001-10266</t>
  </si>
  <si>
    <t>EMPRESA DE ASESORIA Y SERVICIOS S A</t>
  </si>
  <si>
    <t>001-10267</t>
  </si>
  <si>
    <t>INDUSTRIAS ALIMENTARIAS S R LTDA</t>
  </si>
  <si>
    <t>001-10268</t>
  </si>
  <si>
    <t>COBRECON S.A.</t>
  </si>
  <si>
    <t>001-10269</t>
  </si>
  <si>
    <t>FABRICA DE CUBIERTOS SAC</t>
  </si>
  <si>
    <t>001-10270</t>
  </si>
  <si>
    <t>INVERSIONES MIDAS S A</t>
  </si>
  <si>
    <t>001-10271</t>
  </si>
  <si>
    <t>INVERSIONES SAN BORJA S A</t>
  </si>
  <si>
    <t>001-10272</t>
  </si>
  <si>
    <t>FIRTH INDUSTRIES PERU S.A.</t>
  </si>
  <si>
    <t>001-10273</t>
  </si>
  <si>
    <t>SUPERFARMA S.A.C.</t>
  </si>
  <si>
    <t>001-10274</t>
  </si>
  <si>
    <t>DIAR INGENIEROS S A</t>
  </si>
  <si>
    <t>001-10275</t>
  </si>
  <si>
    <t>AMERICAN PACIFIC TRADER DEL PERU S.A.</t>
  </si>
  <si>
    <t>001-10276</t>
  </si>
  <si>
    <t>CIA MINERA AGREGADOS CALCAREOS S A</t>
  </si>
  <si>
    <t>001-10277</t>
  </si>
  <si>
    <t>METROCOLOR S.A.</t>
  </si>
  <si>
    <t>001-10278</t>
  </si>
  <si>
    <t>3M PERU S A</t>
  </si>
  <si>
    <t>001-10279</t>
  </si>
  <si>
    <t>DETROIT DIESEL - MTU PERU S.A.C.</t>
  </si>
  <si>
    <t>001-10280</t>
  </si>
  <si>
    <t>GASOLINERAS S.A.C.</t>
  </si>
  <si>
    <t>001-10281</t>
  </si>
  <si>
    <t>DEPOSITOS S A DEPSA</t>
  </si>
  <si>
    <t>001-10282</t>
  </si>
  <si>
    <t>CONSTRUCTORES S A</t>
  </si>
  <si>
    <t>001-10283</t>
  </si>
  <si>
    <t>SULFATO DE COBRE S A</t>
  </si>
  <si>
    <t>001-10284</t>
  </si>
  <si>
    <t>SOC. NAC. DE MINERIA PETROLEO Y ENERGIA</t>
  </si>
  <si>
    <t>001-10285</t>
  </si>
  <si>
    <t>SISTEMAS &amp; SERVICIOS S.A.C.</t>
  </si>
  <si>
    <t>001-10286</t>
  </si>
  <si>
    <t>BOART LONGYEAR SAC</t>
  </si>
  <si>
    <t>001-10287</t>
  </si>
  <si>
    <t>001-10288</t>
  </si>
  <si>
    <t>001-10289</t>
  </si>
  <si>
    <t>001-10290</t>
  </si>
  <si>
    <t>GEMINIS ADUANAS S.A.</t>
  </si>
  <si>
    <t>001-10291</t>
  </si>
  <si>
    <t>TECNICENTRO CUZCO S.A.C.</t>
  </si>
  <si>
    <t>001-10292</t>
  </si>
  <si>
    <t>001-10293</t>
  </si>
  <si>
    <t>001-10294</t>
  </si>
  <si>
    <t>SERVICIOS MEDICOS ASOCIAD.SAN BORJA S.A.C</t>
  </si>
  <si>
    <t>001-10295</t>
  </si>
  <si>
    <t>CINES EL POLO S.A</t>
  </si>
  <si>
    <t>001-10296</t>
  </si>
  <si>
    <t>001-10297</t>
  </si>
  <si>
    <t>PRODUCTOS ROCHE Q F S A</t>
  </si>
  <si>
    <t>001-10298</t>
  </si>
  <si>
    <t>FIDELITY INTERNATIONAL RESOURCE MANAGEME</t>
  </si>
  <si>
    <t>001-10299</t>
  </si>
  <si>
    <t>BOINAS AZULES S A</t>
  </si>
  <si>
    <t>001-10300</t>
  </si>
  <si>
    <t>001-10301</t>
  </si>
  <si>
    <t>001-10302</t>
  </si>
  <si>
    <t>001-10303</t>
  </si>
  <si>
    <t>RIO TINTO MINING AND EXPLO LIM SUC PER</t>
  </si>
  <si>
    <t>001-10304</t>
  </si>
  <si>
    <t>001-10305</t>
  </si>
  <si>
    <t>001-10306</t>
  </si>
  <si>
    <t>001-10307</t>
  </si>
  <si>
    <t>LIGHT S.A.C</t>
  </si>
  <si>
    <t>001-10308</t>
  </si>
  <si>
    <t>001-10309</t>
  </si>
  <si>
    <t>LEE FILTER DEL PERU S A</t>
  </si>
  <si>
    <t>001-10310</t>
  </si>
  <si>
    <t>001-10311</t>
  </si>
  <si>
    <t>001-10312</t>
  </si>
  <si>
    <t>001-10313</t>
  </si>
  <si>
    <t>001-10314</t>
  </si>
  <si>
    <t>INMOBILIARIA ELENA S.A.C.</t>
  </si>
  <si>
    <t>001-10315</t>
  </si>
  <si>
    <t>001-10316</t>
  </si>
  <si>
    <t>PERU TRAVEL BUREAU S.A</t>
  </si>
  <si>
    <t>001-10317</t>
  </si>
  <si>
    <t>001-10318</t>
  </si>
  <si>
    <t>001-10319</t>
  </si>
  <si>
    <t>001-10320</t>
  </si>
  <si>
    <t>001-10321</t>
  </si>
  <si>
    <t>001-10322</t>
  </si>
  <si>
    <t>ANGLOGOLD EXPLORACION PERU S.A.C.</t>
  </si>
  <si>
    <t>001-10323</t>
  </si>
  <si>
    <t>LUFTHANSA LINEAS AEREAS ALEMANAS</t>
  </si>
  <si>
    <t>001-10324</t>
  </si>
  <si>
    <t>001-10325</t>
  </si>
  <si>
    <t>001-10326</t>
  </si>
  <si>
    <t>001-10327</t>
  </si>
  <si>
    <t>001-10328</t>
  </si>
  <si>
    <t>JOHNSON &amp; JOHNSON DEL PERU S.A</t>
  </si>
  <si>
    <t>001-10329</t>
  </si>
  <si>
    <t>SOCIEDAD IMPORTADORA S.A.</t>
  </si>
  <si>
    <t>001-10330</t>
  </si>
  <si>
    <t>INVERSIONES LUXURY SOCIEDAD ANONIMA</t>
  </si>
  <si>
    <t>001-10331</t>
  </si>
  <si>
    <t>001-10332</t>
  </si>
  <si>
    <t>NOVARTIS BIOSCIENCES PERU S.A.</t>
  </si>
  <si>
    <t>001-10333</t>
  </si>
  <si>
    <t>001-10334</t>
  </si>
  <si>
    <t>001-10335</t>
  </si>
  <si>
    <t>001-10336</t>
  </si>
  <si>
    <t>001-10337</t>
  </si>
  <si>
    <t>001-10338</t>
  </si>
  <si>
    <t>INVERSIONES REGIO MONTANA S.R.LTDA.</t>
  </si>
  <si>
    <t>001-10339</t>
  </si>
  <si>
    <t>001-10340</t>
  </si>
  <si>
    <t>001-10341</t>
  </si>
  <si>
    <t>SKF DEL PERU S A</t>
  </si>
  <si>
    <t>001-10342</t>
  </si>
  <si>
    <t>001-10343</t>
  </si>
  <si>
    <t>001-10344</t>
  </si>
  <si>
    <t>001-10345</t>
  </si>
  <si>
    <t>001-10346</t>
  </si>
  <si>
    <t>001-10347</t>
  </si>
  <si>
    <t>001-10348</t>
  </si>
  <si>
    <t>001-10349</t>
  </si>
  <si>
    <t>001-10350</t>
  </si>
  <si>
    <t>001-10351</t>
  </si>
  <si>
    <t>001-10352</t>
  </si>
  <si>
    <t>001-10353</t>
  </si>
  <si>
    <t>001-10354</t>
  </si>
  <si>
    <t>MINSUR S. A.</t>
  </si>
  <si>
    <t>001-10355</t>
  </si>
  <si>
    <t>001-10356</t>
  </si>
  <si>
    <t>001-10357</t>
  </si>
  <si>
    <t>001-10358</t>
  </si>
  <si>
    <t>001-10359</t>
  </si>
  <si>
    <t>001-10360</t>
  </si>
  <si>
    <t>001-10361</t>
  </si>
  <si>
    <t>001-10362</t>
  </si>
  <si>
    <t>001-10363</t>
  </si>
  <si>
    <t>001-10364</t>
  </si>
  <si>
    <t>001-10365</t>
  </si>
  <si>
    <t>001-10366</t>
  </si>
  <si>
    <t>001-10367</t>
  </si>
  <si>
    <t>001-10368</t>
  </si>
  <si>
    <t>001-10369</t>
  </si>
  <si>
    <t>001-10370</t>
  </si>
  <si>
    <t>001-10371</t>
  </si>
  <si>
    <t>001-10372</t>
  </si>
  <si>
    <t>001-10373</t>
  </si>
  <si>
    <t>001-10374</t>
  </si>
  <si>
    <t>001-10375</t>
  </si>
  <si>
    <t>001-10376</t>
  </si>
  <si>
    <t>001-10377</t>
  </si>
  <si>
    <t>001-10378</t>
  </si>
  <si>
    <t>001-10379</t>
  </si>
  <si>
    <t>001-10380</t>
  </si>
  <si>
    <t>001-10381</t>
  </si>
  <si>
    <t>001-10382</t>
  </si>
  <si>
    <t>001-10383</t>
  </si>
  <si>
    <t>001-10384</t>
  </si>
  <si>
    <t>001-10385</t>
  </si>
  <si>
    <t>DINERS CLUB PERU S A</t>
  </si>
  <si>
    <t>001-10386</t>
  </si>
  <si>
    <t>001-10387</t>
  </si>
  <si>
    <t>001-10388</t>
  </si>
  <si>
    <t>001-10389</t>
  </si>
  <si>
    <t>001-10390</t>
  </si>
  <si>
    <t>001-10391</t>
  </si>
  <si>
    <t>001-10392</t>
  </si>
  <si>
    <t>COMPAÑIA GOODYEAR DEL PERU S.A.</t>
  </si>
  <si>
    <t>001-10393</t>
  </si>
  <si>
    <t>001-10394</t>
  </si>
  <si>
    <t>001-10395</t>
  </si>
  <si>
    <t>SOCIEDAD ADUANERA DEL CALLAO S.A.</t>
  </si>
  <si>
    <t>001-10396</t>
  </si>
  <si>
    <t>001-10397</t>
  </si>
  <si>
    <t>001-10398</t>
  </si>
  <si>
    <t>001-10399</t>
  </si>
  <si>
    <t>001-10400</t>
  </si>
  <si>
    <t>001-10401</t>
  </si>
  <si>
    <t>001-10402</t>
  </si>
  <si>
    <t>001-10403</t>
  </si>
  <si>
    <t>001-10404</t>
  </si>
  <si>
    <t>001-10405</t>
  </si>
  <si>
    <t>001-10406</t>
  </si>
  <si>
    <t>001-10407</t>
  </si>
  <si>
    <t>001-10408</t>
  </si>
  <si>
    <t>001-10409</t>
  </si>
  <si>
    <t>001-10410</t>
  </si>
  <si>
    <t>001-10411</t>
  </si>
  <si>
    <t>001-10412</t>
  </si>
  <si>
    <t>001-10413</t>
  </si>
  <si>
    <t>001-10414</t>
  </si>
  <si>
    <t>001-10415</t>
  </si>
  <si>
    <t>001-10416</t>
  </si>
  <si>
    <t>001-10417</t>
  </si>
  <si>
    <t>001-10418</t>
  </si>
  <si>
    <t>001-10419</t>
  </si>
  <si>
    <t>001-10420</t>
  </si>
  <si>
    <t>001-10421</t>
  </si>
  <si>
    <t>001-10422</t>
  </si>
  <si>
    <t>001-10423</t>
  </si>
  <si>
    <t>001-10424</t>
  </si>
  <si>
    <t>001-10425</t>
  </si>
  <si>
    <t>001-10426</t>
  </si>
  <si>
    <t>001-10427</t>
  </si>
  <si>
    <t>001-10428</t>
  </si>
  <si>
    <t>001-10429</t>
  </si>
  <si>
    <t>001-10430</t>
  </si>
  <si>
    <t>001-10431</t>
  </si>
  <si>
    <t>001-10432</t>
  </si>
  <si>
    <t>001-10433</t>
  </si>
  <si>
    <t>001-10434</t>
  </si>
  <si>
    <t>001-10435</t>
  </si>
  <si>
    <t>001-10436</t>
  </si>
  <si>
    <t>001-10437</t>
  </si>
  <si>
    <t>001-10438</t>
  </si>
  <si>
    <t>De la hoja BASE1 crear un tabla dinamica en base a la selección del cuadro de datos, colocarla en esta hoja y renombrar la hoja como TD1, la tabla dinamica debe llamarse como la hoja</t>
  </si>
  <si>
    <t>Colocar en el area de campos  region en filas, representante en columnas, total en valores</t>
  </si>
  <si>
    <t>Agregar campo calculado a la tabla dinamica que sea Tdolares que refleje su valor con un tipo de cambio de 3.15 (solo trabajar Tdolares en valores, ya no Total )</t>
  </si>
  <si>
    <t xml:space="preserve">Agregar diseño de tabla y colocar a los montos formato moneda  dolares </t>
  </si>
  <si>
    <t>Filtrar en solo region norte,sur, y centro;  y tambien filtrar a los representantes solo a las mujeres (UTILIZANDO SEGMENTACION DE DATOS con diseño)</t>
  </si>
  <si>
    <t>Agregar grafico dinamico de Tipo Linea y agregar estilo cualquiera menos el original y quitar los botones de filtrado</t>
  </si>
  <si>
    <t>Insertar segmentacion de escala de tiempo</t>
  </si>
  <si>
    <t>De la hoja BASE1 crear un tabla dinamica en base a la tabla(debes convertir el rango en tabla) , colocarla en esta hoja y renombrar la hoja como TD2, la tabla dinamica debe llamarse como la hoja</t>
  </si>
  <si>
    <t>Colocar en area de campos  region en columnas,  representante en filas y debajo de representantes fecha en meses, total  en valores. Y linea en filtros</t>
  </si>
  <si>
    <t>Agregar diseño de tabla y colocar a los montos formato moneda en soles</t>
  </si>
  <si>
    <t>Filtrar en solo region este y oeste, y tambien filtrar a los representantes solo a los hombres (UTILIZANDO SEGMENTACION DE DATOS)</t>
  </si>
  <si>
    <t>Agregar grafico dinamico de tipo columnas y cambiar el estilo al grafico (cualquiera menos el original) y quitar los botones de filtrado</t>
  </si>
  <si>
    <t>Insertar escala de tiempo y mostrar desde enero hasta junio</t>
  </si>
  <si>
    <t>Finalmente mostrar paginas de  filtros de informes (para que según el campo que este en filtros se creen hojas de cada uno) las hojas se deben llamar como su filtro</t>
  </si>
  <si>
    <t>1 pt</t>
  </si>
  <si>
    <t>0.5 pts</t>
  </si>
  <si>
    <t xml:space="preserve">3 pts </t>
  </si>
  <si>
    <t>-0.5pts cada error</t>
  </si>
  <si>
    <t>Insertar tabla dinamica de consolidacion multiple en esta hoja lineas abajo respecto a las  hojas Mujeres y Hombres , a la tabla agregarle un diseño identico</t>
  </si>
  <si>
    <t>PRACTICA FINAL</t>
  </si>
  <si>
    <t>(Crear aquí mismo la tabla dinamica)</t>
  </si>
  <si>
    <t>Utiliza el asistente para tablas y graficos dinamicos)</t>
  </si>
  <si>
    <t>Etiquetas de fila</t>
  </si>
  <si>
    <t>Total general</t>
  </si>
  <si>
    <t>Etiquetas de columna</t>
  </si>
  <si>
    <t>Suma de TOTAL</t>
  </si>
  <si>
    <t>Suma de Tdolares</t>
  </si>
  <si>
    <t>Ene</t>
  </si>
  <si>
    <t>Feb</t>
  </si>
  <si>
    <t>Mar</t>
  </si>
  <si>
    <t>Abr</t>
  </si>
  <si>
    <t>May</t>
  </si>
  <si>
    <t>Jun</t>
  </si>
  <si>
    <t>(Todas)</t>
  </si>
  <si>
    <t>Suma de Valor</t>
  </si>
  <si>
    <t>SEXO</t>
  </si>
  <si>
    <t/>
  </si>
  <si>
    <t>Practica_Final</t>
  </si>
  <si>
    <t>Productos</t>
  </si>
  <si>
    <t>Alquiler</t>
  </si>
  <si>
    <t>UTILIDAD</t>
  </si>
  <si>
    <t>ESC1</t>
  </si>
  <si>
    <t>Creado por Alonso Manuel Pérez Guanilo el 12/02/2026</t>
  </si>
  <si>
    <t>ESC2</t>
  </si>
  <si>
    <t>ESC3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</si>
  <si>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</si>
  <si>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</si>
  <si>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</si>
  <si>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</si>
  <si>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</si>
  <si>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</si>
  <si>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</si>
  <si>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Precio Ferrari</t>
  </si>
  <si>
    <t>Ferraris a vender</t>
  </si>
  <si>
    <t>Total Ferraris</t>
  </si>
  <si>
    <t>Precio Lamborgini</t>
  </si>
  <si>
    <t>Lamborginis a vender</t>
  </si>
  <si>
    <t>Total Lamborginis</t>
  </si>
  <si>
    <t>Precio Porsche</t>
  </si>
  <si>
    <t>Porsches a vender</t>
  </si>
  <si>
    <t>Total Porsches</t>
  </si>
  <si>
    <t>Ferraris Máx. a vender</t>
  </si>
  <si>
    <t>Porsches Máx. a vender</t>
  </si>
  <si>
    <t>Lamborginis Máx. a vender</t>
  </si>
  <si>
    <t>Impuesto</t>
  </si>
  <si>
    <t>R^2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</si>
  <si>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</si>
  <si>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</si>
  <si>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</si>
  <si>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</si>
  <si>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</si>
  <si>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</si>
  <si>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</si>
  <si>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</si>
  <si>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</si>
  <si>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</si>
  <si>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</si>
  <si>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</si>
  <si>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</si>
  <si>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(2)</t>
  </si>
  <si>
    <t>Menor(2)</t>
  </si>
  <si>
    <t>Nivel de confianza(95.0%)</t>
  </si>
  <si>
    <t>y mayor...</t>
  </si>
  <si>
    <t>Frecuencia</t>
  </si>
  <si>
    <t>% acumulado</t>
  </si>
  <si>
    <t>La diferencia es que el rango es solamente un conjunto de celdas estáticas seleccionadas, mientras que el formato de Tabla convierte a ese rango de celdas en un objeto estructurado y dinámico, y la ventaja de la tabla es que proveé dinamismo a la hora de ingresar más datos, ya que se podrá reflejar en, por ejemplo, un gráfico al solamente Actualizar.</t>
  </si>
  <si>
    <t>Sí es posible crear una tabla dinámica sin gráfico dinámico, mas no es posible crear un gráfico dinámico sin tabla dinámica</t>
  </si>
  <si>
    <t>SE DIVIDE EL TC</t>
  </si>
  <si>
    <t>NOTA</t>
  </si>
  <si>
    <t>P.ADD</t>
  </si>
  <si>
    <t>NOMBRES</t>
  </si>
  <si>
    <t>SEMANA 1</t>
  </si>
  <si>
    <t>SEMANA 2</t>
  </si>
  <si>
    <t>P.ADD2</t>
  </si>
  <si>
    <t>SEMANA 3</t>
  </si>
  <si>
    <t>P.ADD3</t>
  </si>
  <si>
    <t>PROMEDIO FINAL</t>
  </si>
  <si>
    <t>Alonso Manuel Pérez Guanilo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</si>
</sst>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S/&quot;* #,##0.00_-;\-&quot;S/&quot;* #,##0.00_-;_-&quot;S/&quot;* &quot;-&quot;??_-;_-@_-"/>
    <numFmt numFmtId="165" formatCode="_-[$$-409]* #,##0.00_ ;_-[$$-409]* \-#,##0.00\ ;_-[$$-409]* &quot;-&quot;??_ ;_-@_ "/>
    <numFmt numFmtId="166" formatCode="&quot;USD&quot;\ #,##0.00"/>
    <numFmt numFmtId="167" formatCode="_ &quot;$&quot;\ * #,##0.00_ ;_ &quot;$&quot;\ * \-#,##0.00_ ;_ &quot;$&quot;\ * &quot;-&quot;??_ ;_ @_ "/>
    <numFmt numFmtId="168" formatCode="0.0000%"/>
    <numFmt numFmtId="169" formatCode="_-[$S/-280A]* #,##0.00_-;\-[$S/-280A]* #,##0.00_-;_-[$S/-280A]* &quot;-&quot;??_-;_-@_-"/>
    <numFmt numFmtId="170" formatCode="_-[$$-540A]* #,##0.00_ ;_-[$$-540A]* \-#,##0.00\ ;_-[$$-540A]* &quot;-&quot;??_ ;_-@_ "/>
    <numFmt numFmtId="171" formatCode="#,##0.00\ _€"/>
    <numFmt numFmtId="172" formatCode="[$$-409]#,##0.00"/>
    <numFmt numFmtId="173" formatCode="&quot;S/&quot;\ #,##0.00"/>
  </numFmts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9"/>
      <name val="Verdana"/>
      <family val="2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0"/>
      <name val="Arial"/>
      <family val="2"/>
    </font>
    <font>
      <b/>
      <i/>
      <sz val="11"/>
      <color rgb="FFFF0000"/>
      <name val="Segoe UI"/>
      <family val="2"/>
    </font>
    <font>
      <b/>
      <i/>
      <sz val="11"/>
      <color rgb="FF000000"/>
      <name val="Segoe UI"/>
      <family val="2"/>
    </font>
    <font>
      <sz val="11"/>
      <color theme="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name val="Arial"/>
      <family val="2"/>
    </font>
    <font>
      <b/>
      <i/>
      <sz val="11"/>
      <color theme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theme="8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0" borderId="0"/>
  </cellStyleXfs>
  <cellXfs count="137">
    <xf numFmtId="0" fontId="0" fillId="0" borderId="0" xfId="0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4" fillId="4" borderId="1" xfId="0" applyFont="1" applyFill="1" applyBorder="1"/>
    <xf numFmtId="0" fontId="2" fillId="0" borderId="0" xfId="0" applyFont="1"/>
    <xf numFmtId="0" fontId="5" fillId="0" borderId="0" xfId="0" applyFont="1"/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3"/>
    <xf numFmtId="0" fontId="0" fillId="0" borderId="2" xfId="0" applyBorder="1"/>
    <xf numFmtId="0" fontId="10" fillId="0" borderId="0" xfId="3" applyFont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9" fillId="6" borderId="3" xfId="3" applyFill="1" applyBorder="1" applyAlignment="1">
      <alignment horizontal="left"/>
    </xf>
    <xf numFmtId="165" fontId="9" fillId="0" borderId="3" xfId="3" applyNumberFormat="1" applyBorder="1"/>
    <xf numFmtId="0" fontId="9" fillId="6" borderId="2" xfId="3" applyFill="1" applyBorder="1" applyAlignment="1">
      <alignment horizontal="center"/>
    </xf>
    <xf numFmtId="0" fontId="9" fillId="0" borderId="2" xfId="3" applyBorder="1"/>
    <xf numFmtId="0" fontId="9" fillId="7" borderId="2" xfId="3" applyFill="1" applyBorder="1"/>
    <xf numFmtId="0" fontId="9" fillId="8" borderId="2" xfId="3" applyFill="1" applyBorder="1"/>
    <xf numFmtId="0" fontId="9" fillId="9" borderId="2" xfId="3" applyFill="1" applyBorder="1"/>
    <xf numFmtId="0" fontId="9" fillId="10" borderId="2" xfId="3" applyFill="1" applyBorder="1"/>
    <xf numFmtId="0" fontId="11" fillId="0" borderId="0" xfId="0" applyFont="1"/>
    <xf numFmtId="4" fontId="5" fillId="0" borderId="0" xfId="0" applyNumberFormat="1" applyFont="1"/>
    <xf numFmtId="0" fontId="2" fillId="4" borderId="2" xfId="0" applyFont="1" applyFill="1" applyBorder="1"/>
    <xf numFmtId="166" fontId="0" fillId="0" borderId="2" xfId="0" applyNumberFormat="1" applyBorder="1" applyAlignment="1">
      <alignment horizontal="right"/>
    </xf>
    <xf numFmtId="0" fontId="7" fillId="2" borderId="2" xfId="0" applyFont="1" applyFill="1" applyBorder="1"/>
    <xf numFmtId="166" fontId="8" fillId="2" borderId="2" xfId="0" applyNumberFormat="1" applyFont="1" applyFill="1" applyBorder="1" applyAlignment="1">
      <alignment horizontal="right"/>
    </xf>
    <xf numFmtId="9" fontId="6" fillId="0" borderId="0" xfId="1" applyFont="1"/>
    <xf numFmtId="0" fontId="5" fillId="5" borderId="0" xfId="0" applyFont="1" applyFill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 vertical="top"/>
    </xf>
    <xf numFmtId="0" fontId="13" fillId="11" borderId="15" xfId="0" applyFont="1" applyFill="1" applyBorder="1" applyAlignment="1">
      <alignment horizontal="left" vertical="top" wrapText="1"/>
    </xf>
    <xf numFmtId="167" fontId="14" fillId="11" borderId="15" xfId="2" applyNumberFormat="1" applyFont="1" applyFill="1" applyBorder="1" applyAlignment="1">
      <alignment horizontal="right" vertical="top"/>
    </xf>
    <xf numFmtId="167" fontId="14" fillId="11" borderId="14" xfId="2" applyNumberFormat="1" applyFont="1" applyFill="1" applyBorder="1" applyAlignment="1">
      <alignment horizontal="right" vertical="top"/>
    </xf>
    <xf numFmtId="167" fontId="0" fillId="0" borderId="2" xfId="0" applyNumberFormat="1" applyBorder="1"/>
    <xf numFmtId="167" fontId="15" fillId="11" borderId="15" xfId="2" applyNumberFormat="1" applyFont="1" applyFill="1" applyBorder="1" applyAlignment="1">
      <alignment horizontal="right" vertical="top"/>
    </xf>
    <xf numFmtId="4" fontId="16" fillId="2" borderId="15" xfId="0" applyNumberFormat="1" applyFont="1" applyFill="1" applyBorder="1" applyAlignment="1">
      <alignment horizontal="left"/>
    </xf>
    <xf numFmtId="168" fontId="14" fillId="5" borderId="15" xfId="1" applyNumberFormat="1" applyFont="1" applyFill="1" applyBorder="1" applyAlignment="1">
      <alignment horizontal="right" vertical="top"/>
    </xf>
    <xf numFmtId="167" fontId="15" fillId="12" borderId="15" xfId="2" applyNumberFormat="1" applyFont="1" applyFill="1" applyBorder="1" applyAlignment="1">
      <alignment horizontal="right" vertical="top"/>
    </xf>
    <xf numFmtId="0" fontId="17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 readingOrder="1"/>
    </xf>
    <xf numFmtId="0" fontId="2" fillId="0" borderId="2" xfId="0" applyFont="1" applyBorder="1"/>
    <xf numFmtId="0" fontId="19" fillId="0" borderId="2" xfId="0" applyFont="1" applyBorder="1"/>
    <xf numFmtId="9" fontId="19" fillId="0" borderId="2" xfId="0" applyNumberFormat="1" applyFont="1" applyBorder="1"/>
    <xf numFmtId="9" fontId="0" fillId="0" borderId="0" xfId="0" applyNumberFormat="1"/>
    <xf numFmtId="9" fontId="2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0" fillId="0" borderId="0" xfId="0" applyFont="1"/>
    <xf numFmtId="169" fontId="0" fillId="0" borderId="2" xfId="0" applyNumberFormat="1" applyBorder="1"/>
    <xf numFmtId="170" fontId="2" fillId="0" borderId="2" xfId="0" applyNumberFormat="1" applyFont="1" applyBorder="1"/>
    <xf numFmtId="1" fontId="5" fillId="5" borderId="2" xfId="0" applyNumberFormat="1" applyFon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0" fontId="1" fillId="0" borderId="0" xfId="0" applyFont="1"/>
    <xf numFmtId="1" fontId="0" fillId="13" borderId="2" xfId="0" applyNumberFormat="1" applyFill="1" applyBorder="1" applyAlignment="1">
      <alignment horizontal="center"/>
    </xf>
    <xf numFmtId="0" fontId="2" fillId="0" borderId="0" xfId="0" applyFont="1" applyAlignment="1">
      <alignment horizontal="right"/>
    </xf>
    <xf numFmtId="1" fontId="1" fillId="13" borderId="2" xfId="0" applyNumberFormat="1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9" fontId="2" fillId="0" borderId="2" xfId="0" applyNumberFormat="1" applyFont="1" applyBorder="1" applyAlignment="1">
      <alignment horizontal="center"/>
    </xf>
    <xf numFmtId="0" fontId="21" fillId="4" borderId="1" xfId="0" applyFont="1" applyFill="1" applyBorder="1"/>
    <xf numFmtId="0" fontId="4" fillId="2" borderId="16" xfId="0" applyFont="1" applyFill="1" applyBorder="1"/>
    <xf numFmtId="0" fontId="4" fillId="2" borderId="16" xfId="0" applyFont="1" applyFill="1" applyBorder="1" applyAlignment="1">
      <alignment horizontal="center"/>
    </xf>
    <xf numFmtId="0" fontId="22" fillId="0" borderId="2" xfId="0" applyFont="1" applyBorder="1"/>
    <xf numFmtId="171" fontId="22" fillId="0" borderId="3" xfId="2" applyNumberFormat="1" applyFont="1" applyBorder="1" applyAlignment="1">
      <alignment horizontal="right"/>
    </xf>
    <xf numFmtId="0" fontId="22" fillId="0" borderId="3" xfId="0" applyFont="1" applyBorder="1"/>
    <xf numFmtId="171" fontId="22" fillId="0" borderId="2" xfId="2" applyNumberFormat="1" applyFont="1" applyBorder="1" applyAlignment="1">
      <alignment horizontal="right"/>
    </xf>
    <xf numFmtId="0" fontId="23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pivotButton="1"/>
    <xf numFmtId="172" fontId="0" fillId="0" borderId="0" xfId="0" applyNumberFormat="1"/>
    <xf numFmtId="0" fontId="0" fillId="0" borderId="0" xfId="0" applyAlignment="1">
      <alignment horizontal="left" indent="1"/>
    </xf>
    <xf numFmtId="173" fontId="0" fillId="0" borderId="0" xfId="0" applyNumberFormat="1"/>
    <xf numFmtId="0" fontId="8" fillId="2" borderId="2" xfId="0" applyFont="1" applyFill="1" applyBorder="1"/>
    <xf numFmtId="171" fontId="0" fillId="0" borderId="2" xfId="0" applyNumberFormat="1" applyBorder="1"/>
    <xf numFmtId="0" fontId="0" fillId="2" borderId="2" xfId="0" applyFill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3" fontId="4" fillId="3" borderId="0" xfId="0" applyNumberFormat="1" applyFont="1" applyFill="1"/>
    <xf numFmtId="173" fontId="4" fillId="4" borderId="1" xfId="0" applyNumberFormat="1" applyFont="1" applyFill="1" applyBorder="1"/>
    <xf numFmtId="173" fontId="2" fillId="0" borderId="3" xfId="0" applyNumberFormat="1" applyFont="1" applyBorder="1" applyAlignment="1">
      <alignment horizontal="center" vertical="center"/>
    </xf>
    <xf numFmtId="173" fontId="0" fillId="0" borderId="2" xfId="0" applyNumberFormat="1" applyBorder="1" applyAlignment="1">
      <alignment horizontal="center" vertical="center"/>
    </xf>
    <xf numFmtId="173" fontId="0" fillId="0" borderId="11" xfId="0" applyNumberForma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24" fillId="17" borderId="17" xfId="0" applyFont="1" applyFill="1" applyBorder="1" applyAlignment="1">
      <alignment horizontal="left"/>
    </xf>
    <xf numFmtId="0" fontId="24" fillId="17" borderId="18" xfId="0" applyFont="1" applyFill="1" applyBorder="1" applyAlignment="1">
      <alignment horizontal="left"/>
    </xf>
    <xf numFmtId="0" fontId="0" fillId="0" borderId="19" xfId="0" applyBorder="1"/>
    <xf numFmtId="0" fontId="25" fillId="18" borderId="0" xfId="0" applyFont="1" applyFill="1" applyAlignment="1">
      <alignment horizontal="left"/>
    </xf>
    <xf numFmtId="0" fontId="26" fillId="18" borderId="19" xfId="0" applyFont="1" applyFill="1" applyBorder="1" applyAlignment="1">
      <alignment horizontal="left"/>
    </xf>
    <xf numFmtId="0" fontId="25" fillId="18" borderId="1" xfId="0" applyFont="1" applyFill="1" applyBorder="1" applyAlignment="1">
      <alignment horizontal="left"/>
    </xf>
    <xf numFmtId="0" fontId="27" fillId="17" borderId="18" xfId="0" applyFont="1" applyFill="1" applyBorder="1" applyAlignment="1">
      <alignment horizontal="right"/>
    </xf>
    <xf numFmtId="0" fontId="27" fillId="17" borderId="17" xfId="0" applyFont="1" applyFill="1" applyBorder="1" applyAlignment="1">
      <alignment horizontal="right"/>
    </xf>
    <xf numFmtId="166" fontId="0" fillId="19" borderId="0" xfId="0" applyNumberFormat="1" applyFill="1"/>
    <xf numFmtId="0" fontId="28" fillId="0" borderId="0" xfId="0" applyFont="1" applyAlignment="1">
      <alignment vertical="top" wrapText="1"/>
    </xf>
    <xf numFmtId="0" fontId="0" fillId="5" borderId="2" xfId="0" applyFill="1" applyBorder="1"/>
    <xf numFmtId="0" fontId="0" fillId="20" borderId="2" xfId="0" applyFill="1" applyBorder="1"/>
    <xf numFmtId="172" fontId="0" fillId="0" borderId="2" xfId="0" applyNumberFormat="1" applyBorder="1"/>
    <xf numFmtId="0" fontId="8" fillId="2" borderId="0" xfId="0" applyFont="1" applyFill="1"/>
    <xf numFmtId="0" fontId="0" fillId="20" borderId="0" xfId="0" applyFill="1"/>
    <xf numFmtId="9" fontId="0" fillId="0" borderId="2" xfId="1" applyFont="1" applyBorder="1"/>
    <xf numFmtId="1" fontId="0" fillId="0" borderId="15" xfId="0" applyNumberFormat="1" applyBorder="1"/>
    <xf numFmtId="0" fontId="29" fillId="0" borderId="20" xfId="0" applyFont="1" applyBorder="1" applyAlignment="1">
      <alignment horizontal="centerContinuous"/>
    </xf>
    <xf numFmtId="0" fontId="29" fillId="21" borderId="20" xfId="0" applyFont="1" applyFill="1" applyBorder="1" applyAlignment="1">
      <alignment horizontal="center"/>
    </xf>
    <xf numFmtId="0" fontId="0" fillId="21" borderId="0" xfId="0" applyFill="1"/>
    <xf numFmtId="10" fontId="0" fillId="21" borderId="0" xfId="0" applyNumberFormat="1" applyFill="1"/>
    <xf numFmtId="0" fontId="0" fillId="21" borderId="1" xfId="0" applyFill="1" applyBorder="1"/>
    <xf numFmtId="10" fontId="0" fillId="21" borderId="1" xfId="0" applyNumberFormat="1" applyFill="1" applyBorder="1"/>
    <xf numFmtId="0" fontId="29" fillId="16" borderId="20" xfId="0" applyFont="1" applyFill="1" applyBorder="1" applyAlignment="1">
      <alignment horizontal="center"/>
    </xf>
    <xf numFmtId="0" fontId="0" fillId="16" borderId="0" xfId="0" applyFill="1"/>
    <xf numFmtId="10" fontId="0" fillId="16" borderId="0" xfId="0" applyNumberFormat="1" applyFill="1"/>
    <xf numFmtId="0" fontId="0" fillId="16" borderId="1" xfId="0" applyFill="1" applyBorder="1"/>
    <xf numFmtId="10" fontId="0" fillId="16" borderId="1" xfId="0" applyNumberFormat="1" applyFill="1" applyBorder="1"/>
    <xf numFmtId="0" fontId="5" fillId="5" borderId="2" xfId="0" applyFont="1" applyFill="1" applyBorder="1" applyAlignment="1">
      <alignment horizontal="center"/>
    </xf>
    <xf numFmtId="0" fontId="7" fillId="22" borderId="21" xfId="0" applyFont="1" applyFill="1" applyBorder="1"/>
    <xf numFmtId="0" fontId="7" fillId="22" borderId="22" xfId="0" applyFont="1" applyFill="1" applyBorder="1"/>
    <xf numFmtId="0" fontId="0" fillId="0" borderId="21" xfId="0" applyBorder="1"/>
    <xf numFmtId="0" fontId="0" fillId="0" borderId="21" xfId="0" applyBorder="1" applyAlignment="1">
      <alignment horizontal="center"/>
    </xf>
    <xf numFmtId="2" fontId="0" fillId="16" borderId="11" xfId="0" applyNumberFormat="1" applyFill="1" applyBorder="1" applyAlignment="1">
      <alignment horizontal="center"/>
    </xf>
    <xf numFmtId="2" fontId="2" fillId="16" borderId="1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</cellXfs>
  <cellStyles count="4">
    <cellStyle name="Moneda 2" xfId="2" xr:uid="{00000000-0005-0000-0000-000000000000}"/>
    <cellStyle name="Normal" xfId="0" builtinId="0"/>
    <cellStyle name="Normal 2" xfId="3" xr:uid="{00000000-0005-0000-0000-000002000000}"/>
    <cellStyle name="Porcentaje" xfId="1" builtinId="5"/>
  </cellStyles>
  <dxfs count="25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7030A0"/>
        </patternFill>
      </fill>
    </dxf>
    <dxf>
      <font>
        <color rgb="FFFFFF00"/>
      </font>
      <fill>
        <patternFill>
          <fgColor theme="7"/>
          <bgColor theme="1" tint="0.499984740745262"/>
        </patternFill>
      </fill>
    </dxf>
    <dxf>
      <font>
        <color rgb="FF0070C0"/>
      </font>
      <fill>
        <patternFill>
          <bgColor rgb="FFFF66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3" formatCode="&quot;S/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3" formatCode="&quot;S/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3" formatCode="&quot;S/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microsoft.com/office/2011/relationships/timelineCache" Target="timelineCaches/timelineCache2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ivotCacheDefinition" Target="pivotCache/pivotCacheDefinition2.xml"/><Relationship Id="rId37" Type="http://schemas.microsoft.com/office/2007/relationships/slicerCache" Target="slicerCaches/slicerCache4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microsoft.com/office/2007/relationships/slicerCache" Target="slicerCaches/slicerCache2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pivotCacheDefinition" Target="pivotCache/pivotCacheDefinition3.xml"/><Relationship Id="rId38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[PRACTICA_FINAL - Alonso Manuel Pérez Guanilo (1).xlsx]TD1!TD1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'TD1'!$C$12:$C$13</c:f>
              <c:strCache>
                <c:ptCount val="1"/>
                <c:pt idx="0">
                  <c:v>Janet Lopez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'TD1'!$B$14:$B$17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'TD1'!$C$14:$C$17</c:f>
              <c:numCache>
                <c:formatCode>[$$-409]#,##0.00</c:formatCode>
                <c:ptCount val="3"/>
                <c:pt idx="0">
                  <c:v>10675.44702</c:v>
                </c:pt>
                <c:pt idx="1">
                  <c:v>111771.71396999995</c:v>
                </c:pt>
                <c:pt idx="2">
                  <c:v>26522.095949999999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E-4D31-B517-6F493BB72CD5}"/>
            </c:ext>
          </c:extLst>
        </c:ser>
        <c:ser>
          <c:idx val="1"/>
          <c:order val="1"/>
          <c:tx>
            <c:strRef>
              <c:f>'TD1'!$D$12:$D$13</c:f>
              <c:strCache>
                <c:ptCount val="1"/>
                <c:pt idx="0">
                  <c:v>Laura Cabellero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'TD1'!$B$14:$B$17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'TD1'!$D$14:$D$17</c:f>
              <c:numCache>
                <c:formatCode>[$$-409]#,##0.00</c:formatCode>
                <c:ptCount val="3"/>
                <c:pt idx="0">
                  <c:v>0</c:v>
                </c:pt>
                <c:pt idx="1">
                  <c:v>37793.563920000001</c:v>
                </c:pt>
                <c:pt idx="2">
                  <c:v>10954.779570000001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E-4D31-B517-6F493BB72CD5}"/>
            </c:ext>
          </c:extLst>
        </c:ser>
        <c:ser>
          <c:idx val="2"/>
          <c:order val="2"/>
          <c:tx>
            <c:strRef>
              <c:f>'TD1'!$E$12:$E$13</c:f>
              <c:strCache>
                <c:ptCount val="1"/>
                <c:pt idx="0">
                  <c:v>Margarita Palacios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'TD1'!$B$14:$B$17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'TD1'!$E$14:$E$17</c:f>
              <c:numCache>
                <c:formatCode>[$$-409]#,##0.00</c:formatCode>
                <c:ptCount val="3"/>
                <c:pt idx="0">
                  <c:v>21697.058249999998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E-4D31-B517-6F493BB7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798527"/>
        <c:axId val="547799967"/>
      </c:lineChart>
      <c:catAx>
        <c:axId val="54779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7799967"/>
        <c:crosses val="autoZero"/>
        <c:auto val="1"/>
        <c:lblAlgn val="ctr"/>
        <c:lblOffset val="100"/>
        <c:noMultiLvlLbl val="0"/>
      </c:catAx>
      <c:valAx>
        <c:axId val="5477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779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[PRACTICA_FINAL - Alonso Manuel Pérez Guanilo (1).xlsx]TD2!TD2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'TD2'!$C$12:$C$13</c:f>
              <c:strCache>
                <c:ptCount val="1"/>
                <c:pt idx="0">
                  <c:v>ESTE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'TD2'!$B$14:$B$25</c:f>
              <c:multiLvlStrCache>
                <c:ptCount val="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Ene</c:v>
                  </c:pt>
                  <c:pt idx="6">
                    <c:v>Mar</c:v>
                  </c:pt>
                  <c:pt idx="7">
                    <c:v>Abr</c:v>
                  </c:pt>
                  <c:pt idx="8">
                    <c:v>Jun</c:v>
                  </c:pt>
                </c:lvl>
                <c:lvl>
                  <c:pt idx="0">
                    <c:v>Andres Flores</c:v>
                  </c:pt>
                  <c:pt idx="5">
                    <c:v>Jorge Bardales</c:v>
                  </c:pt>
                </c:lvl>
              </c:multiLvlStrCache>
            </c:multiLvlStrRef>
          </c:cat>
          <c:val>
            <c:numRef>
              <c:f>'TD2'!$C$14:$C$25</c:f>
              <c:numCache>
                <c:formatCode>"S/"\ #,##0.00</c:formatCode>
                <c:ptCount val="9"/>
                <c:pt idx="0">
                  <c:v>6035.2043999999996</c:v>
                </c:pt>
                <c:pt idx="1">
                  <c:v>3864.6533999999997</c:v>
                </c:pt>
                <c:pt idx="2">
                  <c:v>5649.84</c:v>
                </c:pt>
                <c:pt idx="3">
                  <c:v>18817.058799999999</c:v>
                </c:pt>
                <c:pt idx="4">
                  <c:v>18817.058799999999</c:v>
                </c:pt>
                <c:pt idx="5">
                  <c:v>125776.91979999997</c:v>
                </c:pt>
                <c:pt idx="6">
                  <c:v>3778.596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2-45A5-BC59-CA1AEB830102}"/>
            </c:ext>
          </c:extLst>
        </c:ser>
        <c:ser>
          <c:idx val="1"/>
          <c:order val="1"/>
          <c:tx>
            <c:strRef>
              <c:f>'TD2'!$D$12:$D$13</c:f>
              <c:strCache>
                <c:ptCount val="1"/>
                <c:pt idx="0">
                  <c:v>OESTE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'TD2'!$B$14:$B$25</c:f>
              <c:multiLvlStrCache>
                <c:ptCount val="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Ene</c:v>
                  </c:pt>
                  <c:pt idx="6">
                    <c:v>Mar</c:v>
                  </c:pt>
                  <c:pt idx="7">
                    <c:v>Abr</c:v>
                  </c:pt>
                  <c:pt idx="8">
                    <c:v>Jun</c:v>
                  </c:pt>
                </c:lvl>
                <c:lvl>
                  <c:pt idx="0">
                    <c:v>Andres Flores</c:v>
                  </c:pt>
                  <c:pt idx="5">
                    <c:v>Jorge Bardales</c:v>
                  </c:pt>
                </c:lvl>
              </c:multiLvlStrCache>
            </c:multiLvlStrRef>
          </c:cat>
          <c:val>
            <c:numRef>
              <c:f>'TD2'!$D$14:$D$25</c:f>
              <c:numCache>
                <c:formatCode>"S/"\ #,##0.00</c:formatCode>
                <c:ptCount val="9"/>
                <c:pt idx="1">
                  <c:v>1038.99</c:v>
                </c:pt>
                <c:pt idx="2">
                  <c:v>1768.0529999999999</c:v>
                </c:pt>
                <c:pt idx="3">
                  <c:v>727.46999999999991</c:v>
                </c:pt>
                <c:pt idx="4">
                  <c:v>727.46999999999991</c:v>
                </c:pt>
                <c:pt idx="5">
                  <c:v>1299.4159999999999</c:v>
                </c:pt>
                <c:pt idx="7">
                  <c:v>3670.9327999999996</c:v>
                </c:pt>
                <c:pt idx="8">
                  <c:v>876.15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2-45A5-BC59-CA1AEB830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7219439"/>
        <c:axId val="2137218479"/>
      </c:barChart>
      <c:catAx>
        <c:axId val="21372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7218479"/>
        <c:crosses val="autoZero"/>
        <c:auto val="1"/>
        <c:lblAlgn val="ctr"/>
        <c:lblOffset val="100"/>
        <c:noMultiLvlLbl val="0"/>
      </c:catAx>
      <c:valAx>
        <c:axId val="213721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72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ESTAD!$L$9:$L$13</c:f>
              <c:strCach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100</c:v>
                </c:pt>
                <c:pt idx="4">
                  <c:v>y mayor...</c:v>
                </c:pt>
              </c:strCache>
            </c:strRef>
          </c:cat>
          <c:val>
            <c:numRef>
              <c:f>ESTAD!$M$9:$M$13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E-4DF0-97C9-20F949C33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343215"/>
        <c:axId val="527333615"/>
      </c:barChart>
      <c:lineChart>
        <c:grouping val="standard"/>
        <c:varyColors val="0"/>
        <c:ser>
          <c:idx val="1"/>
          <c:order val="1"/>
          <c:tx>
            <c:v>% acumulado</c:v>
          </c:tx>
          <c:cat>
            <c:strRef>
              <c:f>ESTAD!$L$9:$L$13</c:f>
              <c:strCach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100</c:v>
                </c:pt>
                <c:pt idx="4">
                  <c:v>y mayor...</c:v>
                </c:pt>
              </c:strCache>
            </c:strRef>
          </c:cat>
          <c:val>
            <c:numRef>
              <c:f>ESTAD!$N$9:$N$13</c:f>
              <c:numCache>
                <c:formatCode>0.00%</c:formatCode>
                <c:ptCount val="5"/>
                <c:pt idx="0">
                  <c:v>0.35</c:v>
                </c:pt>
                <c:pt idx="1">
                  <c:v>0.7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3E-4DF0-97C9-20F949C33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346095"/>
        <c:axId val="527345615"/>
      </c:lineChart>
      <c:catAx>
        <c:axId val="527343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33615"/>
        <c:crosses val="autoZero"/>
        <c:auto val="1"/>
        <c:lblAlgn val="ctr"/>
        <c:lblOffset val="100"/>
        <c:noMultiLvlLbl val="0"/>
      </c:catAx>
      <c:valAx>
        <c:axId val="527333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43215"/>
        <c:crosses val="autoZero"/>
        <c:crossBetween val="between"/>
      </c:valAx>
      <c:valAx>
        <c:axId val="52734561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527346095"/>
        <c:crosses val="max"/>
        <c:crossBetween val="between"/>
      </c:valAx>
      <c:catAx>
        <c:axId val="527346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345615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Tendencia de PBI</a:t>
            </a:r>
            <a:r>
              <a:rPr lang="es-PE" baseline="0"/>
              <a:t> 2015-2020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349825021872266"/>
                  <c:y val="7.3222513852435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25538057742782"/>
                  <c:y val="0.2861854768153980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s-PE" sz="1200" baseline="0"/>
                      <a:t>y = 3945.3x - 8E+06</a:t>
                    </a:r>
                    <a:endParaRPr lang="es-PE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PRONO_TEND!$B$9:$B$14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xVal>
          <c:yVal>
            <c:numRef>
              <c:f>PRONO_TEND!$C$9:$C$14</c:f>
              <c:numCache>
                <c:formatCode>_-[$S/-280A]* #,##0.00_-;\-[$S/-280A]* #,##0.00_-;_-[$S/-280A]* "-"??_-;_-@_-</c:formatCode>
                <c:ptCount val="6"/>
                <c:pt idx="0">
                  <c:v>25343</c:v>
                </c:pt>
                <c:pt idx="1">
                  <c:v>32543</c:v>
                </c:pt>
                <c:pt idx="2">
                  <c:v>52343</c:v>
                </c:pt>
                <c:pt idx="3">
                  <c:v>53454</c:v>
                </c:pt>
                <c:pt idx="4">
                  <c:v>63234</c:v>
                </c:pt>
                <c:pt idx="5">
                  <c:v>34323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7-417C-90BB-FC1B12C58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435631"/>
        <c:axId val="378431791"/>
      </c:scatterChart>
      <c:valAx>
        <c:axId val="3784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78431791"/>
        <c:crosses val="autoZero"/>
        <c:crossBetween val="midCat"/>
      </c:valAx>
      <c:valAx>
        <c:axId val="37843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-[$S/-280A]* #,##0.00_-;\-[$S/-280A]* #,##0.00_-;_-[$S/-280A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7843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514350</xdr:colOff>
      <xdr:row>0</xdr:row>
      <xdr:rowOff>161924</xdr:rowOff>
    </xdr:from>
    <xdr:to>
      <xdr:col>10</xdr:col>
      <xdr:colOff>266700</xdr:colOff>
      <xdr:row>3</xdr:row>
      <xdr:rowOff>9524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F13A4-3434-4F5A-AE71-DC0EC695951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1924"/>
          <a:ext cx="2038350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</xdr:row>
      <xdr:rowOff>19050</xdr:rowOff>
    </xdr:from>
    <xdr:to>
      <xdr:col>8</xdr:col>
      <xdr:colOff>590550</xdr:colOff>
      <xdr:row>6</xdr:row>
      <xdr:rowOff>47625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3FCFBF7-24C9-4C79-821D-4396560880B6}"/>
            </a:ext>
          </a:extLst>
        </xdr:cNvPr>
        <xdr:cNvSpPr/>
      </xdr:nvSpPr>
      <xdr:spPr>
        <a:xfrm>
          <a:off x="1371600" y="209550"/>
          <a:ext cx="8353425" cy="981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rgbClr val="FF0000"/>
              </a:solidFill>
            </a:rPr>
            <a:t>RECUERDA QUE PARA UNA MEJOR PRESENTACION</a:t>
          </a:r>
          <a:r>
            <a:rPr lang="es-PE" sz="1100" b="1" baseline="0">
              <a:solidFill>
                <a:srgbClr val="FF0000"/>
              </a:solidFill>
            </a:rPr>
            <a:t> DE UN DASHBOARD QUE ES BASICAMENTE UNA PIZARRA DE PRESENTACION DE INFORMES Y PRECISAMENTE ESO ES UNA TABLA DINAMICA  "UN INFORME", QUITALE LAS LINEAS DE CUADRICULA A TU HOJA</a:t>
          </a:r>
        </a:p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297180</xdr:colOff>
      <xdr:row>7</xdr:row>
      <xdr:rowOff>53340</xdr:rowOff>
    </xdr:from>
    <xdr:to>
      <xdr:col>9</xdr:col>
      <xdr:colOff>975360</xdr:colOff>
      <xdr:row>14</xdr:row>
      <xdr:rowOff>7619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D409607F-BC3A-AC28-A0D5-28054E521F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7140" y="1333500"/>
              <a:ext cx="2423160" cy="1234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22860</xdr:colOff>
      <xdr:row>7</xdr:row>
      <xdr:rowOff>60961</xdr:rowOff>
    </xdr:from>
    <xdr:to>
      <xdr:col>11</xdr:col>
      <xdr:colOff>739140</xdr:colOff>
      <xdr:row>13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PRESENTANTE">
              <a:extLst>
                <a:ext uri="{FF2B5EF4-FFF2-40B4-BE49-F238E27FC236}">
                  <a16:creationId xmlns:a16="http://schemas.microsoft.com/office/drawing/2014/main" id="{F1A42838-3610-E17F-FF6D-F3C37B29D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9360" y="1341121"/>
              <a:ext cx="1828800" cy="1173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396240</xdr:colOff>
      <xdr:row>18</xdr:row>
      <xdr:rowOff>7620</xdr:rowOff>
    </xdr:from>
    <xdr:to>
      <xdr:col>9</xdr:col>
      <xdr:colOff>876300</xdr:colOff>
      <xdr:row>25</xdr:row>
      <xdr:rowOff>99060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C32AE0FC-FB9E-2524-EF85-A8ECE03E10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3680" y="32994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693420</xdr:colOff>
      <xdr:row>17</xdr:row>
      <xdr:rowOff>133350</xdr:rowOff>
    </xdr:from>
    <xdr:to>
      <xdr:col>4</xdr:col>
      <xdr:colOff>990600</xdr:colOff>
      <xdr:row>32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11EC3-EB88-695A-71E4-BECFD4DA3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476250</xdr:colOff>
      <xdr:row>6</xdr:row>
      <xdr:rowOff>112395</xdr:rowOff>
    </xdr:to>
    <xdr:sp macro="" textlink="">
      <xdr:nvSpPr>
        <xdr:cNvPr id="7" name="Signo de multiplicación 6">
          <a:extLst>
            <a:ext uri="{FF2B5EF4-FFF2-40B4-BE49-F238E27FC236}">
              <a16:creationId xmlns:a16="http://schemas.microsoft.com/office/drawing/2014/main" id="{5F9DC8A1-F27D-4561-ADD7-A093BC332B34}"/>
            </a:ext>
          </a:extLst>
        </xdr:cNvPr>
        <xdr:cNvSpPr/>
      </xdr:nvSpPr>
      <xdr:spPr>
        <a:xfrm>
          <a:off x="11210925" y="723900"/>
          <a:ext cx="476250" cy="474345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495300</xdr:colOff>
      <xdr:row>3</xdr:row>
      <xdr:rowOff>114301</xdr:rowOff>
    </xdr:from>
    <xdr:to>
      <xdr:col>16</xdr:col>
      <xdr:colOff>335280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007B4F04-6DFE-D205-2A32-8D3AE6316D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51080" y="662941"/>
              <a:ext cx="182880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45720</xdr:colOff>
      <xdr:row>3</xdr:row>
      <xdr:rowOff>114301</xdr:rowOff>
    </xdr:from>
    <xdr:to>
      <xdr:col>13</xdr:col>
      <xdr:colOff>434340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PRESENTANTE 1">
              <a:extLst>
                <a:ext uri="{FF2B5EF4-FFF2-40B4-BE49-F238E27FC236}">
                  <a16:creationId xmlns:a16="http://schemas.microsoft.com/office/drawing/2014/main" id="{6D590F42-E6D5-137E-92A4-7836B8A78A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1320" y="662941"/>
              <a:ext cx="182880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213360</xdr:colOff>
      <xdr:row>10</xdr:row>
      <xdr:rowOff>64770</xdr:rowOff>
    </xdr:from>
    <xdr:to>
      <xdr:col>11</xdr:col>
      <xdr:colOff>373380</xdr:colOff>
      <xdr:row>25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B7E22-237C-2AE9-2E52-7432BEB99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15240</xdr:colOff>
      <xdr:row>13</xdr:row>
      <xdr:rowOff>83820</xdr:rowOff>
    </xdr:from>
    <xdr:to>
      <xdr:col>16</xdr:col>
      <xdr:colOff>121920</xdr:colOff>
      <xdr:row>20</xdr:row>
      <xdr:rowOff>175260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972D0A74-8ED7-5FE0-8ED7-943369504A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53800" y="2461260"/>
              <a:ext cx="271272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3</xdr:row>
      <xdr:rowOff>152400</xdr:rowOff>
    </xdr:from>
    <xdr:to>
      <xdr:col>5</xdr:col>
      <xdr:colOff>152400</xdr:colOff>
      <xdr:row>13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7C6F45-9394-4563-9447-EA6508C39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01040"/>
          <a:ext cx="4733925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390525</xdr:colOff>
      <xdr:row>4</xdr:row>
      <xdr:rowOff>38100</xdr:rowOff>
    </xdr:from>
    <xdr:to>
      <xdr:col>9</xdr:col>
      <xdr:colOff>123506</xdr:colOff>
      <xdr:row>26</xdr:row>
      <xdr:rowOff>28052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891DD-5649-423D-9635-74DD8F74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1575" y="800100"/>
          <a:ext cx="2552381" cy="41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616322</xdr:colOff>
      <xdr:row>0</xdr:row>
      <xdr:rowOff>0</xdr:rowOff>
    </xdr:from>
    <xdr:ext cx="2857500" cy="742950"/>
    <xdr:pic>
      <xdr:nvPicPr>
        <xdr:cNvPr id="2" name="Imagen 1">
          <a:extLst>
            <a:ext uri="{FF2B5EF4-FFF2-40B4-BE49-F238E27FC236}">
              <a16:creationId xmlns:a16="http://schemas.microsoft.com/office/drawing/2014/main" id="{0F1970AF-C1BD-48C3-A1BA-D965485CF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3440" y="0"/>
          <a:ext cx="2857500" cy="7429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552450</xdr:colOff>
      <xdr:row>11</xdr:row>
      <xdr:rowOff>142875</xdr:rowOff>
    </xdr:from>
    <xdr:to>
      <xdr:col>10</xdr:col>
      <xdr:colOff>322840</xdr:colOff>
      <xdr:row>12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141" t="74096" r="23489" b="21476"/>
        <a:stretch/>
      </xdr:blipFill>
      <xdr:spPr>
        <a:xfrm>
          <a:off x="10096500" y="1676400"/>
          <a:ext cx="536200" cy="2095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14</xdr:row>
      <xdr:rowOff>171450</xdr:rowOff>
    </xdr:from>
    <xdr:to>
      <xdr:col>4</xdr:col>
      <xdr:colOff>1885951</xdr:colOff>
      <xdr:row>17</xdr:row>
      <xdr:rowOff>28576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E68C5AE8-BCBE-49F7-993F-7275BAC9CC46}"/>
            </a:ext>
          </a:extLst>
        </xdr:cNvPr>
        <xdr:cNvSpPr/>
      </xdr:nvSpPr>
      <xdr:spPr>
        <a:xfrm>
          <a:off x="2943226" y="2838450"/>
          <a:ext cx="6019800" cy="428626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Aplicar Buscar Objetivo para  el</a:t>
          </a:r>
          <a:r>
            <a:rPr lang="es-PE" sz="1100" baseline="0"/>
            <a:t> % de descuento con la finalidad de que el Total Final sea $6500 </a:t>
          </a:r>
          <a:endParaRPr lang="es-P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6</xdr:col>
      <xdr:colOff>476250</xdr:colOff>
      <xdr:row>11</xdr:row>
      <xdr:rowOff>115757</xdr:rowOff>
    </xdr:to>
    <xdr:sp macro="" textlink="">
      <xdr:nvSpPr>
        <xdr:cNvPr id="2" name="Signo de multiplicación 1">
          <a:extLst>
            <a:ext uri="{FF2B5EF4-FFF2-40B4-BE49-F238E27FC236}">
              <a16:creationId xmlns:a16="http://schemas.microsoft.com/office/drawing/2014/main" id="{D5031CBD-7179-4747-A167-A2A60F7E669C}"/>
            </a:ext>
          </a:extLst>
        </xdr:cNvPr>
        <xdr:cNvSpPr/>
      </xdr:nvSpPr>
      <xdr:spPr>
        <a:xfrm>
          <a:off x="5087471" y="1613647"/>
          <a:ext cx="476250" cy="474345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373156</xdr:colOff>
      <xdr:row>0</xdr:row>
      <xdr:rowOff>43142</xdr:rowOff>
    </xdr:from>
    <xdr:to>
      <xdr:col>9</xdr:col>
      <xdr:colOff>382681</xdr:colOff>
      <xdr:row>2</xdr:row>
      <xdr:rowOff>109817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89DC53-6522-43E6-9EB1-46B19B789F7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3332" y="43142"/>
          <a:ext cx="2295525" cy="5485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14</xdr:row>
      <xdr:rowOff>152400</xdr:rowOff>
    </xdr:from>
    <xdr:to>
      <xdr:col>16</xdr:col>
      <xdr:colOff>487680</xdr:colOff>
      <xdr:row>24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064D78-5468-39DA-658B-3DE1CABF6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426635</xdr:colOff>
      <xdr:row>0</xdr:row>
      <xdr:rowOff>130699</xdr:rowOff>
    </xdr:from>
    <xdr:ext cx="3957106" cy="96898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FB8B540-8047-DBFD-64FC-53A2FF851B40}"/>
            </a:ext>
          </a:extLst>
        </xdr:cNvPr>
        <xdr:cNvSpPr/>
      </xdr:nvSpPr>
      <xdr:spPr>
        <a:xfrm>
          <a:off x="12367623" y="130699"/>
          <a:ext cx="3957106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EXITOS y ANIMOS !</a:t>
          </a:r>
        </a:p>
        <a:p>
          <a:pPr algn="ctr"/>
          <a:r>
            <a:rPr lang="es-ES" sz="1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PSDTA:</a:t>
          </a:r>
          <a:r>
            <a:rPr lang="es-ES" sz="18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s-ES" sz="1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REPASA BIEN</a:t>
          </a:r>
        </a:p>
      </xdr:txBody>
    </xdr:sp>
    <xdr:clientData/>
  </xdr:oneCellAnchor>
  <xdr:twoCellAnchor>
    <xdr:from>
      <xdr:col>6</xdr:col>
      <xdr:colOff>658906</xdr:colOff>
      <xdr:row>19</xdr:row>
      <xdr:rowOff>143436</xdr:rowOff>
    </xdr:from>
    <xdr:to>
      <xdr:col>12</xdr:col>
      <xdr:colOff>497541</xdr:colOff>
      <xdr:row>35</xdr:row>
      <xdr:rowOff>17930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16AB6-FCF4-C064-5B04-11698221B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WINDOWS/Escritorio/NU%20TD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MARENA/Desktop/EXCEL%20ALESSANDRO_CELDEP/2.MODULO%20INTERMEDIO%201/2.TRABAJO%20CON%20TABLA%20DE%20DATOS/2.4_TRABAJO_CON_TABLA_DE_DAT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Juan%20Carlos/Revisar%20Edutecno/Excel/Excel%20Clase_4%20Avanzado/2%20Prueba_Excel_Avanzado_Final_Capreden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Documentos/Edutecno/Docu%20Excel/variado/En%20Excel/planill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celprog/Mis%20documentos/Documentos/Docu%20Excel/Basico/ej%20basi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Juan%20Carlos/Revisar%20Edutecno/Excel/Se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Archivos%20temporales%20de%20Internet/Content.IE5/Y7C83I8K/Documentos/Edutecno/Docu%20Excel/variado/En%20Excel/grafi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MARENA/Desktop/ALESSANDRO/EXCEL%20ALESSANDRO_DATUX/CLASE_OCT_2021_SAB/PRACTICAS/PRACTICA2_INTERMEDIO1/PRACTICA2_INTERMEDIO1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T din"/>
      <sheetName val="T Din 1"/>
      <sheetName val="T Din 2"/>
      <sheetName val="T Din 3"/>
      <sheetName val="T Din 4"/>
      <sheetName val="T Din 5"/>
      <sheetName val="Base T din (2)"/>
      <sheetName val="T Dinam 1"/>
      <sheetName val="T Dinam 2"/>
      <sheetName val="T Dinam 3"/>
      <sheetName val="T Dinam 4"/>
      <sheetName val="T Dinam 5"/>
      <sheetName val="T Dinam 6"/>
      <sheetName val="Base"/>
      <sheetName val="TDin (1)"/>
      <sheetName val="TDin (2)"/>
      <sheetName val="TDin (3)"/>
      <sheetName val="TDin (4)"/>
      <sheetName val="TDin (5)"/>
      <sheetName val="TDin (6)"/>
      <sheetName val="tabla dinamica"/>
      <sheetName val="tabladinamica2"/>
      <sheetName val="Base T din (3)"/>
      <sheetName val="T Dinam 1 (2)"/>
      <sheetName val="T Dinam 2 (2)"/>
      <sheetName val="T Dinam 3 (2)"/>
      <sheetName val="T Dinam 4 (2)"/>
      <sheetName val="T Dinam 5 (2)"/>
      <sheetName val="T Dinam 6 (2)"/>
      <sheetName val="Base T din (4)"/>
      <sheetName val="T Dinam 1 (3)"/>
      <sheetName val="T Dinam 2 (3)"/>
      <sheetName val="T Dinam 3 (3)"/>
      <sheetName val="T Dinam 4 (3)"/>
      <sheetName val="T Dinam 5 (3)"/>
      <sheetName val="T Dinam 6 (3)"/>
      <sheetName val="Base1"/>
      <sheetName val="TD  1"/>
      <sheetName val="TD  2"/>
      <sheetName val="Base  2"/>
      <sheetName val="TD  3"/>
      <sheetName val="TD  4"/>
      <sheetName val="TD  5"/>
      <sheetName val="Base  3"/>
      <sheetName val="TD  6"/>
      <sheetName val="TD  7"/>
      <sheetName val="TD  8"/>
      <sheetName val="TD  9"/>
      <sheetName val="TD  10"/>
      <sheetName val="TD  11"/>
      <sheetName val="TD  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Diana Walbaum M.</v>
          </cell>
          <cell r="B2">
            <v>1997</v>
          </cell>
          <cell r="C2" t="str">
            <v>Ago</v>
          </cell>
          <cell r="D2">
            <v>7047</v>
          </cell>
          <cell r="E2" t="str">
            <v>Crédito automotriz</v>
          </cell>
          <cell r="F2" t="str">
            <v>Santiago</v>
          </cell>
        </row>
        <row r="3">
          <cell r="A3" t="str">
            <v>Jorge Barrios P.</v>
          </cell>
          <cell r="B3">
            <v>1998</v>
          </cell>
          <cell r="C3" t="str">
            <v>Dic</v>
          </cell>
          <cell r="D3">
            <v>7686</v>
          </cell>
          <cell r="E3" t="str">
            <v>Crédito automotriz</v>
          </cell>
          <cell r="F3" t="str">
            <v>Santiago</v>
          </cell>
        </row>
        <row r="4">
          <cell r="A4" t="str">
            <v>Marcos Díaz R.</v>
          </cell>
          <cell r="B4">
            <v>1997</v>
          </cell>
          <cell r="C4" t="str">
            <v>Jul</v>
          </cell>
          <cell r="D4">
            <v>797</v>
          </cell>
          <cell r="E4" t="str">
            <v>Crédito automotriz</v>
          </cell>
          <cell r="F4" t="str">
            <v>Santiago</v>
          </cell>
        </row>
        <row r="5">
          <cell r="A5" t="str">
            <v>Patricio Aballay T.</v>
          </cell>
          <cell r="B5">
            <v>1999</v>
          </cell>
          <cell r="C5" t="str">
            <v>Jul</v>
          </cell>
          <cell r="D5">
            <v>7612</v>
          </cell>
          <cell r="E5" t="str">
            <v>Crédito automotriz</v>
          </cell>
          <cell r="F5" t="str">
            <v>Santiago</v>
          </cell>
        </row>
        <row r="6">
          <cell r="A6" t="str">
            <v>Rodrigo Cabrera G.</v>
          </cell>
          <cell r="B6">
            <v>1998</v>
          </cell>
          <cell r="C6" t="str">
            <v>Jun</v>
          </cell>
          <cell r="D6">
            <v>5575</v>
          </cell>
          <cell r="E6" t="str">
            <v>Crédito automotriz</v>
          </cell>
          <cell r="F6" t="str">
            <v>Santiago</v>
          </cell>
        </row>
        <row r="7">
          <cell r="A7" t="str">
            <v>Rodrigo González</v>
          </cell>
          <cell r="B7">
            <v>1997</v>
          </cell>
          <cell r="C7" t="str">
            <v>Oct</v>
          </cell>
          <cell r="D7">
            <v>8165</v>
          </cell>
          <cell r="E7" t="str">
            <v>Crédito automotriz</v>
          </cell>
          <cell r="F7" t="str">
            <v>Santiago</v>
          </cell>
        </row>
        <row r="8">
          <cell r="A8" t="str">
            <v>Rodrigo Riesco C.</v>
          </cell>
          <cell r="B8">
            <v>1999</v>
          </cell>
          <cell r="C8" t="str">
            <v>Oct</v>
          </cell>
          <cell r="D8">
            <v>7191</v>
          </cell>
          <cell r="E8" t="str">
            <v>Crédito automotriz</v>
          </cell>
          <cell r="F8" t="str">
            <v>Valparaíso</v>
          </cell>
        </row>
        <row r="9">
          <cell r="A9" t="str">
            <v>Soledad Brinck</v>
          </cell>
          <cell r="B9">
            <v>1997</v>
          </cell>
          <cell r="C9" t="str">
            <v>Oct</v>
          </cell>
          <cell r="D9">
            <v>3338</v>
          </cell>
          <cell r="E9" t="str">
            <v>Crédito automotriz</v>
          </cell>
          <cell r="F9" t="str">
            <v>Santiago</v>
          </cell>
        </row>
        <row r="10">
          <cell r="A10" t="str">
            <v>Sonia Campos</v>
          </cell>
          <cell r="B10">
            <v>1998</v>
          </cell>
          <cell r="C10" t="str">
            <v>Apr</v>
          </cell>
          <cell r="D10">
            <v>450</v>
          </cell>
          <cell r="E10" t="str">
            <v>Crédito automotriz</v>
          </cell>
          <cell r="F10" t="str">
            <v>Santiago</v>
          </cell>
        </row>
        <row r="11">
          <cell r="A11" t="str">
            <v>Arturo Mateluna G.</v>
          </cell>
          <cell r="B11">
            <v>1999</v>
          </cell>
          <cell r="C11" t="str">
            <v>Dic</v>
          </cell>
          <cell r="D11">
            <v>2733</v>
          </cell>
          <cell r="E11" t="str">
            <v>Crédito automotriz</v>
          </cell>
          <cell r="F11" t="str">
            <v>Santiago</v>
          </cell>
        </row>
        <row r="12">
          <cell r="A12" t="str">
            <v>Diana Walbaum M.</v>
          </cell>
          <cell r="B12">
            <v>1997</v>
          </cell>
          <cell r="C12" t="str">
            <v>Dic</v>
          </cell>
          <cell r="D12">
            <v>7047</v>
          </cell>
          <cell r="E12" t="str">
            <v>Crédito de Consumo</v>
          </cell>
          <cell r="F12" t="str">
            <v>Santiago</v>
          </cell>
        </row>
        <row r="13">
          <cell r="A13" t="str">
            <v>Jorge Santelices V.</v>
          </cell>
          <cell r="B13">
            <v>1999</v>
          </cell>
          <cell r="C13" t="str">
            <v>Ene</v>
          </cell>
          <cell r="D13">
            <v>6544</v>
          </cell>
          <cell r="E13" t="str">
            <v>Crédito automotriz</v>
          </cell>
          <cell r="F13" t="str">
            <v>Valparaíso</v>
          </cell>
        </row>
        <row r="14">
          <cell r="A14" t="str">
            <v>Jorge Barrios P.</v>
          </cell>
          <cell r="B14">
            <v>2000</v>
          </cell>
          <cell r="C14" t="str">
            <v>Feb</v>
          </cell>
          <cell r="D14">
            <v>4923</v>
          </cell>
          <cell r="E14" t="str">
            <v>Crédito de Consumo</v>
          </cell>
          <cell r="F14" t="str">
            <v>Santiago</v>
          </cell>
        </row>
        <row r="15">
          <cell r="A15" t="str">
            <v>Christian Falcón</v>
          </cell>
          <cell r="B15">
            <v>1998</v>
          </cell>
          <cell r="C15" t="str">
            <v>Feb</v>
          </cell>
          <cell r="D15">
            <v>8076</v>
          </cell>
          <cell r="E15" t="str">
            <v>Crédito automotriz</v>
          </cell>
          <cell r="F15" t="str">
            <v>Santiago</v>
          </cell>
        </row>
        <row r="16">
          <cell r="A16" t="str">
            <v>Rodrigo González</v>
          </cell>
          <cell r="B16">
            <v>1997</v>
          </cell>
          <cell r="C16" t="str">
            <v>Mar</v>
          </cell>
          <cell r="D16">
            <v>6751</v>
          </cell>
          <cell r="E16" t="str">
            <v>Crédito de Consumo</v>
          </cell>
          <cell r="F16" t="str">
            <v>Santiago</v>
          </cell>
        </row>
        <row r="17">
          <cell r="A17" t="str">
            <v>Orlando Muñoz E.</v>
          </cell>
          <cell r="B17">
            <v>1999</v>
          </cell>
          <cell r="C17" t="str">
            <v>Mar</v>
          </cell>
          <cell r="D17">
            <v>2741</v>
          </cell>
          <cell r="E17" t="str">
            <v>Crédito automotriz</v>
          </cell>
          <cell r="F17" t="str">
            <v>Valparaíso</v>
          </cell>
        </row>
        <row r="18">
          <cell r="A18" t="str">
            <v>Marcos Díaz R.</v>
          </cell>
          <cell r="B18">
            <v>1998</v>
          </cell>
          <cell r="C18" t="str">
            <v>Oct</v>
          </cell>
          <cell r="D18">
            <v>995</v>
          </cell>
          <cell r="E18" t="str">
            <v>Crédito de Consumo</v>
          </cell>
          <cell r="F18" t="str">
            <v>Santiago</v>
          </cell>
        </row>
        <row r="19">
          <cell r="A19" t="str">
            <v>Patricio Aballay T.</v>
          </cell>
          <cell r="B19">
            <v>1997</v>
          </cell>
          <cell r="C19" t="str">
            <v>Sep</v>
          </cell>
          <cell r="D19">
            <v>2956</v>
          </cell>
          <cell r="E19" t="str">
            <v>Crédito de Consumo</v>
          </cell>
          <cell r="F19" t="str">
            <v>Santiago</v>
          </cell>
        </row>
        <row r="20">
          <cell r="A20" t="str">
            <v>Elías Burgos O.</v>
          </cell>
          <cell r="B20">
            <v>2000</v>
          </cell>
          <cell r="C20" t="str">
            <v>Sep</v>
          </cell>
          <cell r="D20">
            <v>750</v>
          </cell>
          <cell r="E20" t="str">
            <v>Crédito automotriz</v>
          </cell>
          <cell r="F20" t="str">
            <v>Valparaíso</v>
          </cell>
        </row>
        <row r="21">
          <cell r="A21" t="str">
            <v>Rodrigo Cabrera G.</v>
          </cell>
          <cell r="B21">
            <v>1998</v>
          </cell>
          <cell r="C21" t="str">
            <v>Nov</v>
          </cell>
          <cell r="D21">
            <v>650</v>
          </cell>
          <cell r="E21" t="str">
            <v>Crédito de Consumo</v>
          </cell>
          <cell r="F21" t="str">
            <v>Santiago</v>
          </cell>
        </row>
        <row r="22">
          <cell r="A22" t="str">
            <v>Rodrigo Riesco C.</v>
          </cell>
          <cell r="B22">
            <v>1999</v>
          </cell>
          <cell r="C22" t="str">
            <v>Sep</v>
          </cell>
          <cell r="D22">
            <v>865</v>
          </cell>
          <cell r="E22" t="str">
            <v>Crédito de Consumo</v>
          </cell>
          <cell r="F22" t="str">
            <v>Santiago</v>
          </cell>
        </row>
        <row r="23">
          <cell r="A23" t="str">
            <v>Soledad Brinck</v>
          </cell>
          <cell r="B23">
            <v>1997</v>
          </cell>
          <cell r="C23" t="str">
            <v>Ago</v>
          </cell>
          <cell r="D23">
            <v>900</v>
          </cell>
          <cell r="E23" t="str">
            <v>Crédito de Consumo</v>
          </cell>
          <cell r="F23" t="str">
            <v>Santiago</v>
          </cell>
        </row>
        <row r="24">
          <cell r="A24" t="str">
            <v>Sonia Campos</v>
          </cell>
          <cell r="B24">
            <v>1998</v>
          </cell>
          <cell r="C24" t="str">
            <v>Nov</v>
          </cell>
          <cell r="D24">
            <v>840</v>
          </cell>
          <cell r="E24" t="str">
            <v>Crédito de Consumo</v>
          </cell>
          <cell r="F24" t="str">
            <v>Santiago</v>
          </cell>
        </row>
        <row r="25">
          <cell r="A25" t="str">
            <v>Arturo Mateluna G.</v>
          </cell>
          <cell r="B25">
            <v>2000</v>
          </cell>
          <cell r="C25" t="str">
            <v>Nov</v>
          </cell>
          <cell r="D25">
            <v>658</v>
          </cell>
          <cell r="E25" t="str">
            <v>Crédito de Consumo</v>
          </cell>
          <cell r="F25" t="str">
            <v>Valparaíso</v>
          </cell>
        </row>
        <row r="27">
          <cell r="B27">
            <v>700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QUE ES"/>
      <sheetName val="Validaciones"/>
      <sheetName val="Base de Datos"/>
      <sheetName val="Ejercicio 1"/>
      <sheetName val="Ejercicio 2"/>
      <sheetName val="PRACTICA "/>
      <sheetName val="PRACT_VALID"/>
      <sheetName val="Configuracion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>Logistica</v>
          </cell>
          <cell r="D3" t="str">
            <v>Sistemas</v>
          </cell>
        </row>
        <row r="4">
          <cell r="B4" t="str">
            <v>Ventas</v>
          </cell>
          <cell r="D4" t="str">
            <v>Caja</v>
          </cell>
        </row>
        <row r="5">
          <cell r="B5" t="str">
            <v>Almacen</v>
          </cell>
          <cell r="D5" t="str">
            <v>Recepcion</v>
          </cell>
        </row>
        <row r="6">
          <cell r="B6" t="str">
            <v>Repuestos</v>
          </cell>
          <cell r="D6" t="str">
            <v>Gerencia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 DE BASE DE DATOS"/>
      <sheetName val="BUSCARV"/>
    </sheetNames>
    <sheetDataSet>
      <sheetData sheetId="0">
        <row r="1">
          <cell r="A1" t="str">
            <v>IdCliente</v>
          </cell>
          <cell r="B1" t="str">
            <v>NombreContacto</v>
          </cell>
          <cell r="C1" t="str">
            <v>CargoContacto</v>
          </cell>
          <cell r="D1" t="str">
            <v>Ciudad</v>
          </cell>
          <cell r="E1" t="str">
            <v>País</v>
          </cell>
          <cell r="F1" t="str">
            <v>Teléfono</v>
          </cell>
          <cell r="G1" t="str">
            <v>FechaPedido</v>
          </cell>
          <cell r="H1" t="str">
            <v>Deuda</v>
          </cell>
        </row>
        <row r="2">
          <cell r="A2" t="str">
            <v>ALFKI</v>
          </cell>
          <cell r="B2" t="str">
            <v>Maria Anders</v>
          </cell>
          <cell r="C2" t="str">
            <v>Representante de ventas</v>
          </cell>
          <cell r="D2" t="str">
            <v>Berlín</v>
          </cell>
          <cell r="E2" t="str">
            <v>Alemania</v>
          </cell>
          <cell r="F2" t="str">
            <v>030-0074321</v>
          </cell>
          <cell r="G2">
            <v>34751</v>
          </cell>
          <cell r="H2">
            <v>2640</v>
          </cell>
        </row>
        <row r="3">
          <cell r="A3" t="str">
            <v>ANATR</v>
          </cell>
          <cell r="B3" t="str">
            <v>Ana Trujillo</v>
          </cell>
          <cell r="C3" t="str">
            <v>Propietario</v>
          </cell>
          <cell r="D3" t="str">
            <v>México D.F.</v>
          </cell>
          <cell r="E3" t="str">
            <v>México</v>
          </cell>
          <cell r="F3" t="str">
            <v>(5) 555-4729</v>
          </cell>
          <cell r="G3">
            <v>35318</v>
          </cell>
          <cell r="H3">
            <v>4456.4399999999996</v>
          </cell>
        </row>
        <row r="4">
          <cell r="A4" t="str">
            <v>ANTON</v>
          </cell>
          <cell r="B4" t="str">
            <v>Antonio Moreno</v>
          </cell>
          <cell r="C4" t="str">
            <v>Propietario</v>
          </cell>
          <cell r="D4" t="str">
            <v>México D.F.</v>
          </cell>
          <cell r="E4" t="str">
            <v>México</v>
          </cell>
          <cell r="F4" t="str">
            <v>(5) 555-3932</v>
          </cell>
          <cell r="G4">
            <v>35057</v>
          </cell>
          <cell r="H4">
            <v>5268</v>
          </cell>
        </row>
        <row r="5">
          <cell r="A5" t="str">
            <v>AROUT</v>
          </cell>
          <cell r="B5" t="str">
            <v>Thomas Hardy</v>
          </cell>
          <cell r="C5" t="str">
            <v>Representante de ventas</v>
          </cell>
          <cell r="D5" t="str">
            <v>Londres</v>
          </cell>
          <cell r="E5" t="str">
            <v>Reino Unido</v>
          </cell>
          <cell r="F5" t="str">
            <v>(71) 555-7788</v>
          </cell>
          <cell r="G5">
            <v>34891</v>
          </cell>
          <cell r="H5">
            <v>3465</v>
          </cell>
        </row>
        <row r="6">
          <cell r="A6" t="str">
            <v>BERGS</v>
          </cell>
          <cell r="B6" t="str">
            <v>Christina Berglund</v>
          </cell>
          <cell r="C6" t="str">
            <v>Administrador de pedidos</v>
          </cell>
          <cell r="D6" t="str">
            <v>Luleå</v>
          </cell>
          <cell r="E6" t="str">
            <v>Suecia</v>
          </cell>
          <cell r="F6" t="str">
            <v>0921-12 34 65</v>
          </cell>
          <cell r="G6">
            <v>35329</v>
          </cell>
          <cell r="H6">
            <v>2427.6</v>
          </cell>
        </row>
        <row r="7">
          <cell r="A7" t="str">
            <v>BLAUS</v>
          </cell>
          <cell r="B7" t="str">
            <v>Hanna Moos</v>
          </cell>
          <cell r="C7" t="str">
            <v>Representante de ventas</v>
          </cell>
          <cell r="D7" t="str">
            <v>Mannheim</v>
          </cell>
          <cell r="E7" t="str">
            <v>Alemania</v>
          </cell>
          <cell r="F7" t="str">
            <v>0621-08460</v>
          </cell>
          <cell r="G7">
            <v>34915</v>
          </cell>
          <cell r="H7">
            <v>2565</v>
          </cell>
        </row>
        <row r="8">
          <cell r="A8" t="str">
            <v>BLONP</v>
          </cell>
          <cell r="B8" t="str">
            <v>Frédérique Citeaux</v>
          </cell>
          <cell r="C8" t="str">
            <v>Gerente de marketing</v>
          </cell>
          <cell r="D8" t="str">
            <v>Estrasburgo</v>
          </cell>
          <cell r="E8" t="str">
            <v>Francia</v>
          </cell>
          <cell r="F8" t="str">
            <v>88.60.15.21</v>
          </cell>
          <cell r="G8">
            <v>35115</v>
          </cell>
          <cell r="H8">
            <v>2227.5</v>
          </cell>
        </row>
        <row r="9">
          <cell r="A9" t="str">
            <v>BOLID</v>
          </cell>
          <cell r="B9" t="str">
            <v>Martín Sommer</v>
          </cell>
          <cell r="C9" t="str">
            <v>Propietario</v>
          </cell>
          <cell r="D9" t="str">
            <v>Madrid</v>
          </cell>
          <cell r="E9" t="str">
            <v>España</v>
          </cell>
          <cell r="F9" t="str">
            <v>(91) 555 22 82</v>
          </cell>
          <cell r="G9">
            <v>35556</v>
          </cell>
          <cell r="H9">
            <v>3159</v>
          </cell>
        </row>
        <row r="10">
          <cell r="A10" t="str">
            <v>BONAP</v>
          </cell>
          <cell r="B10" t="str">
            <v>Laurence Lebihan</v>
          </cell>
          <cell r="C10" t="str">
            <v>Propietario</v>
          </cell>
          <cell r="D10" t="str">
            <v>Marsella</v>
          </cell>
          <cell r="E10" t="str">
            <v>Francia</v>
          </cell>
          <cell r="F10" t="str">
            <v>91.24.45.40</v>
          </cell>
          <cell r="G10">
            <v>34576</v>
          </cell>
          <cell r="H10">
            <v>2195</v>
          </cell>
        </row>
        <row r="11">
          <cell r="A11" t="str">
            <v>BOTTM</v>
          </cell>
          <cell r="B11" t="str">
            <v>Elizabeth Lincoln</v>
          </cell>
          <cell r="C11" t="str">
            <v>Gerente de contabilidad</v>
          </cell>
          <cell r="D11" t="str">
            <v>Tsawassen</v>
          </cell>
          <cell r="E11" t="str">
            <v>Canadá</v>
          </cell>
          <cell r="F11" t="str">
            <v>(604) 555-4729</v>
          </cell>
          <cell r="G11">
            <v>34901</v>
          </cell>
          <cell r="H11">
            <v>4005.2</v>
          </cell>
        </row>
        <row r="12">
          <cell r="A12" t="str">
            <v>BSBEV</v>
          </cell>
          <cell r="B12" t="str">
            <v>Victoria Ashworth</v>
          </cell>
          <cell r="C12" t="str">
            <v>Representante de ventas</v>
          </cell>
          <cell r="D12" t="str">
            <v>Londres</v>
          </cell>
          <cell r="E12" t="str">
            <v>Reino Unido</v>
          </cell>
          <cell r="F12" t="str">
            <v>(71) 555-1221</v>
          </cell>
          <cell r="G12">
            <v>35603</v>
          </cell>
          <cell r="H12">
            <v>3900</v>
          </cell>
        </row>
        <row r="13">
          <cell r="A13" t="str">
            <v>CACTU</v>
          </cell>
          <cell r="B13" t="str">
            <v>Patricio Simpson</v>
          </cell>
          <cell r="C13" t="str">
            <v>Agente de ventas</v>
          </cell>
          <cell r="D13" t="str">
            <v>Buenos Aires</v>
          </cell>
          <cell r="E13" t="str">
            <v>Argentina</v>
          </cell>
          <cell r="F13" t="str">
            <v>(1) 135-5555</v>
          </cell>
          <cell r="G13">
            <v>34669</v>
          </cell>
          <cell r="H13">
            <v>10540</v>
          </cell>
        </row>
        <row r="14">
          <cell r="A14" t="str">
            <v>CENTC</v>
          </cell>
          <cell r="B14" t="str">
            <v>Francisco Chang</v>
          </cell>
          <cell r="C14" t="str">
            <v>Gerente de marketing</v>
          </cell>
          <cell r="D14" t="str">
            <v>México D.F.</v>
          </cell>
          <cell r="E14" t="str">
            <v>México</v>
          </cell>
          <cell r="F14" t="str">
            <v>(5) 555-3392</v>
          </cell>
          <cell r="G14">
            <v>35149</v>
          </cell>
          <cell r="H14">
            <v>6324</v>
          </cell>
        </row>
        <row r="15">
          <cell r="A15" t="str">
            <v>CHOPS</v>
          </cell>
          <cell r="B15" t="str">
            <v>Yang Wang</v>
          </cell>
          <cell r="C15" t="str">
            <v>Propietario</v>
          </cell>
          <cell r="D15" t="str">
            <v>Berna</v>
          </cell>
          <cell r="E15" t="str">
            <v>Suiza</v>
          </cell>
          <cell r="F15" t="str">
            <v>0452-076545</v>
          </cell>
          <cell r="G15">
            <v>35406</v>
          </cell>
          <cell r="H15">
            <v>2618</v>
          </cell>
        </row>
        <row r="16">
          <cell r="A16" t="str">
            <v>COMMI</v>
          </cell>
          <cell r="B16" t="str">
            <v>Pedro Afonso</v>
          </cell>
          <cell r="C16" t="str">
            <v>Asistente de ventas</v>
          </cell>
          <cell r="D16" t="str">
            <v>São Paulo</v>
          </cell>
          <cell r="E16" t="str">
            <v>Brasil</v>
          </cell>
          <cell r="F16" t="str">
            <v>(11) 555-7647</v>
          </cell>
          <cell r="G16">
            <v>34600</v>
          </cell>
          <cell r="H16">
            <v>8263.36</v>
          </cell>
        </row>
        <row r="17">
          <cell r="A17" t="str">
            <v>CONSH</v>
          </cell>
          <cell r="B17" t="str">
            <v>Elizabeth Brown</v>
          </cell>
          <cell r="C17" t="str">
            <v>Representante de ventas</v>
          </cell>
          <cell r="D17" t="str">
            <v>Londres</v>
          </cell>
          <cell r="E17" t="str">
            <v>Reino Unido</v>
          </cell>
          <cell r="F17" t="str">
            <v>(71) 555-2282</v>
          </cell>
          <cell r="G17">
            <v>34864</v>
          </cell>
          <cell r="H17">
            <v>3754.875</v>
          </cell>
        </row>
        <row r="18">
          <cell r="A18" t="str">
            <v>DRACD</v>
          </cell>
          <cell r="B18" t="str">
            <v>Sven Ottlieb</v>
          </cell>
          <cell r="C18" t="str">
            <v>Administrador de pedidos</v>
          </cell>
          <cell r="D18" t="str">
            <v>Aachen</v>
          </cell>
          <cell r="E18" t="str">
            <v>Alemania</v>
          </cell>
          <cell r="F18" t="str">
            <v>0241-039123</v>
          </cell>
          <cell r="G18">
            <v>35286</v>
          </cell>
          <cell r="H18">
            <v>2640</v>
          </cell>
        </row>
        <row r="19">
          <cell r="A19" t="str">
            <v>DUMON</v>
          </cell>
          <cell r="B19" t="str">
            <v>Janine Labrune</v>
          </cell>
          <cell r="C19" t="str">
            <v>Propietario</v>
          </cell>
          <cell r="D19" t="str">
            <v>Nantes</v>
          </cell>
          <cell r="E19" t="str">
            <v>Francia</v>
          </cell>
          <cell r="F19" t="str">
            <v>40.67.88.88</v>
          </cell>
          <cell r="G19">
            <v>35050</v>
          </cell>
          <cell r="H19">
            <v>2261</v>
          </cell>
        </row>
        <row r="20">
          <cell r="A20" t="str">
            <v>EASTC</v>
          </cell>
          <cell r="B20" t="str">
            <v>Ann Devon</v>
          </cell>
          <cell r="C20" t="str">
            <v>Agente de ventas</v>
          </cell>
          <cell r="D20" t="str">
            <v>Londres</v>
          </cell>
          <cell r="E20" t="str">
            <v>Reino Unido</v>
          </cell>
          <cell r="F20" t="str">
            <v>(71) 555-0297</v>
          </cell>
          <cell r="G20">
            <v>35345</v>
          </cell>
          <cell r="H20">
            <v>3952.5</v>
          </cell>
        </row>
        <row r="21">
          <cell r="A21" t="str">
            <v>ERNSH</v>
          </cell>
          <cell r="B21" t="str">
            <v>Roland Mendel</v>
          </cell>
          <cell r="C21" t="str">
            <v>Gerente de ventas</v>
          </cell>
          <cell r="D21" t="str">
            <v>Graz</v>
          </cell>
          <cell r="E21" t="str">
            <v>Austria</v>
          </cell>
          <cell r="F21" t="str">
            <v>7675-3425</v>
          </cell>
          <cell r="G21">
            <v>34626</v>
          </cell>
          <cell r="H21">
            <v>2240</v>
          </cell>
        </row>
        <row r="22">
          <cell r="A22" t="str">
            <v>FAMIA</v>
          </cell>
          <cell r="B22" t="str">
            <v>Aria Cruz</v>
          </cell>
          <cell r="C22" t="str">
            <v>Asistente de marketing</v>
          </cell>
          <cell r="D22" t="str">
            <v>Sao Paulo</v>
          </cell>
          <cell r="E22" t="str">
            <v>Brasil</v>
          </cell>
          <cell r="F22" t="str">
            <v>(11) 555-9857</v>
          </cell>
          <cell r="G22">
            <v>35399</v>
          </cell>
          <cell r="H22">
            <v>6324</v>
          </cell>
        </row>
        <row r="23">
          <cell r="A23" t="str">
            <v>FISSA</v>
          </cell>
          <cell r="B23" t="str">
            <v>Diego Roel</v>
          </cell>
          <cell r="C23" t="str">
            <v>Gerente de contabilidad</v>
          </cell>
          <cell r="D23" t="str">
            <v>Madrid</v>
          </cell>
          <cell r="E23" t="str">
            <v>España</v>
          </cell>
          <cell r="F23" t="str">
            <v>(91) 555 94 44</v>
          </cell>
          <cell r="G23">
            <v>35138</v>
          </cell>
          <cell r="H23">
            <v>2760</v>
          </cell>
        </row>
        <row r="24">
          <cell r="A24" t="str">
            <v>FOLIG</v>
          </cell>
          <cell r="B24" t="str">
            <v>Martine Rancé</v>
          </cell>
          <cell r="C24" t="str">
            <v>Asistente de agente de ventas</v>
          </cell>
          <cell r="D24" t="str">
            <v>Lille</v>
          </cell>
          <cell r="E24" t="str">
            <v>Francia</v>
          </cell>
          <cell r="F24" t="str">
            <v>20.16.10.16</v>
          </cell>
          <cell r="G24">
            <v>35082</v>
          </cell>
          <cell r="H24">
            <v>2386.8000000000002</v>
          </cell>
        </row>
        <row r="25">
          <cell r="A25" t="str">
            <v>FOLKO</v>
          </cell>
          <cell r="B25" t="str">
            <v>Maria Larsson</v>
          </cell>
          <cell r="C25" t="str">
            <v>Propietario</v>
          </cell>
          <cell r="D25" t="str">
            <v>Bräcke</v>
          </cell>
          <cell r="E25" t="str">
            <v>Suecia</v>
          </cell>
          <cell r="F25" t="str">
            <v>0695-34 67 21</v>
          </cell>
          <cell r="G25">
            <v>34887</v>
          </cell>
          <cell r="H25">
            <v>2464</v>
          </cell>
        </row>
        <row r="26">
          <cell r="A26" t="str">
            <v>FRANK</v>
          </cell>
          <cell r="B26" t="str">
            <v>Peter Franken</v>
          </cell>
          <cell r="C26" t="str">
            <v>Gerente de marketing</v>
          </cell>
          <cell r="D26" t="str">
            <v>München</v>
          </cell>
          <cell r="E26" t="str">
            <v>Alemania</v>
          </cell>
          <cell r="F26" t="str">
            <v>089-0877310</v>
          </cell>
          <cell r="G26">
            <v>34956</v>
          </cell>
          <cell r="H26">
            <v>2462.4</v>
          </cell>
        </row>
        <row r="27">
          <cell r="A27" t="str">
            <v>FRANR</v>
          </cell>
          <cell r="B27" t="str">
            <v>Carine Schmitt</v>
          </cell>
          <cell r="C27" t="str">
            <v>Gerente de marketing</v>
          </cell>
          <cell r="D27" t="str">
            <v>Nantes</v>
          </cell>
          <cell r="E27" t="str">
            <v>Francia</v>
          </cell>
          <cell r="F27" t="str">
            <v>40.32.21.21</v>
          </cell>
          <cell r="G27">
            <v>34643</v>
          </cell>
          <cell r="H27">
            <v>2281.5</v>
          </cell>
        </row>
        <row r="28">
          <cell r="A28" t="str">
            <v>FRANS</v>
          </cell>
          <cell r="B28" t="str">
            <v>Paolo Accorti</v>
          </cell>
          <cell r="C28" t="str">
            <v>Representante de ventas</v>
          </cell>
          <cell r="D28" t="str">
            <v>Torino</v>
          </cell>
          <cell r="E28" t="str">
            <v>Italia</v>
          </cell>
          <cell r="F28" t="str">
            <v>011-4988260</v>
          </cell>
          <cell r="G28">
            <v>34643</v>
          </cell>
          <cell r="H28">
            <v>2650</v>
          </cell>
        </row>
        <row r="29">
          <cell r="A29" t="str">
            <v>FURIB</v>
          </cell>
          <cell r="B29" t="str">
            <v xml:space="preserve">Lino Rodriguez </v>
          </cell>
          <cell r="C29" t="str">
            <v>Gerente de ventas</v>
          </cell>
          <cell r="D29" t="str">
            <v>Lisboa</v>
          </cell>
          <cell r="E29" t="str">
            <v>Portugal</v>
          </cell>
          <cell r="F29" t="str">
            <v>(1) 354-2534</v>
          </cell>
          <cell r="G29">
            <v>35425</v>
          </cell>
          <cell r="H29">
            <v>8432</v>
          </cell>
        </row>
        <row r="30">
          <cell r="A30" t="str">
            <v>GALED</v>
          </cell>
          <cell r="B30" t="str">
            <v>Eduardo Saavedra</v>
          </cell>
          <cell r="C30" t="str">
            <v>Gerente de marketing</v>
          </cell>
          <cell r="D30" t="str">
            <v>Barcelona</v>
          </cell>
          <cell r="E30" t="str">
            <v>España</v>
          </cell>
          <cell r="F30" t="str">
            <v>(93) 203 4560</v>
          </cell>
          <cell r="G30">
            <v>34852</v>
          </cell>
          <cell r="H30">
            <v>2758</v>
          </cell>
        </row>
        <row r="31">
          <cell r="A31" t="str">
            <v>GODOS</v>
          </cell>
          <cell r="B31" t="str">
            <v>José Pedro Freyre</v>
          </cell>
          <cell r="C31" t="str">
            <v>Gerente de ventas</v>
          </cell>
          <cell r="D31" t="str">
            <v>Sevilla</v>
          </cell>
          <cell r="E31" t="str">
            <v>España</v>
          </cell>
          <cell r="F31" t="str">
            <v>(95) 555 82 82</v>
          </cell>
          <cell r="G31">
            <v>35423</v>
          </cell>
          <cell r="H31">
            <v>2660</v>
          </cell>
        </row>
        <row r="32">
          <cell r="A32" t="str">
            <v>GOURL</v>
          </cell>
          <cell r="B32" t="str">
            <v>André Fonseca</v>
          </cell>
          <cell r="C32" t="str">
            <v>Asistente de ventas</v>
          </cell>
          <cell r="D32" t="str">
            <v>Campinas</v>
          </cell>
          <cell r="E32" t="str">
            <v>Brasil</v>
          </cell>
          <cell r="F32" t="str">
            <v>(11) 555-9482</v>
          </cell>
          <cell r="G32">
            <v>34584</v>
          </cell>
          <cell r="H32">
            <v>7905</v>
          </cell>
        </row>
        <row r="33">
          <cell r="A33" t="str">
            <v>GREAL</v>
          </cell>
          <cell r="B33" t="str">
            <v>Howard Snyder</v>
          </cell>
          <cell r="C33" t="str">
            <v>Gerente de marketing</v>
          </cell>
          <cell r="D33" t="str">
            <v>Eugenia</v>
          </cell>
          <cell r="E33" t="str">
            <v>Estados Unidos</v>
          </cell>
          <cell r="F33" t="str">
            <v>(503) 555-7555</v>
          </cell>
          <cell r="G33">
            <v>34685</v>
          </cell>
          <cell r="H33">
            <v>4005.2</v>
          </cell>
        </row>
      </sheetData>
      <sheetData sheetId="1">
        <row r="15">
          <cell r="N15" t="str">
            <v>U.F</v>
          </cell>
          <cell r="O15">
            <v>20317.23</v>
          </cell>
        </row>
        <row r="16">
          <cell r="N16" t="str">
            <v>Dólar</v>
          </cell>
          <cell r="O16">
            <v>507.4</v>
          </cell>
        </row>
        <row r="17">
          <cell r="N17" t="str">
            <v>Euro</v>
          </cell>
          <cell r="O17">
            <v>797.67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 (5)"/>
      <sheetName val="Resumen de gastos"/>
      <sheetName val="Mat Oficina"/>
      <sheetName val="Movilización"/>
      <sheetName val="Aseo"/>
      <sheetName val="Colación"/>
      <sheetName val="Hoja3"/>
      <sheetName val="Hoja1 (3)"/>
      <sheetName val="Graf"/>
      <sheetName val="Hoja1"/>
      <sheetName val="CTAC"/>
      <sheetName val="Hoja1 (10)"/>
      <sheetName val="Sueldos"/>
      <sheetName val="Hoja1 (4)"/>
      <sheetName val="Hoja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 9"/>
      <sheetName val="carrera (2)"/>
      <sheetName val="combinar (2)"/>
      <sheetName val="tabla 1 (2)"/>
      <sheetName val="tabla 2 (2)"/>
      <sheetName val="Error (2)"/>
      <sheetName val="Error 2 (2)"/>
      <sheetName val="Simple (2)"/>
      <sheetName val="Condicional (2)"/>
      <sheetName val="Básico (2)"/>
      <sheetName val="Ej 1"/>
      <sheetName val="alineación (2)"/>
      <sheetName val="tabla (3)"/>
      <sheetName val="Ej 4 (2)"/>
      <sheetName val="Ej 5 (2)"/>
      <sheetName val="Ej 8 (2)"/>
      <sheetName val="Ej 13 (2)"/>
      <sheetName val="Autorreleno"/>
      <sheetName val="Ej 15"/>
      <sheetName val="Ej 13"/>
      <sheetName val="tabla (2)"/>
      <sheetName val="alineación"/>
      <sheetName val="carrera"/>
      <sheetName val="combinar"/>
      <sheetName val="tabla 1"/>
      <sheetName val="tabla 2"/>
      <sheetName val="Error"/>
      <sheetName val="Error 2"/>
      <sheetName val="Simple"/>
      <sheetName val="Condicional"/>
      <sheetName val="Básico"/>
      <sheetName val="Ej 2"/>
      <sheetName val="formato"/>
      <sheetName val="Ej 6"/>
      <sheetName val="Ej 5"/>
      <sheetName val="Ej 4"/>
      <sheetName val="Ej 3"/>
      <sheetName val="Ej 11"/>
      <sheetName val="Ej 8"/>
      <sheetName val="EJERCICIO 10"/>
      <sheetName val="Eje 14"/>
      <sheetName val="Hoja1 (10)"/>
      <sheetName val="Hoja3 (5)"/>
      <sheetName val="Hoja4"/>
      <sheetName val="Hoja1 (11)"/>
      <sheetName val="tabla dinamica"/>
      <sheetName val="Hoja2 (6)"/>
      <sheetName val="tabla"/>
      <sheetName val="total"/>
      <sheetName val="Bas_absol2"/>
      <sheetName val="funfiones1"/>
      <sheetName val="SUM_PROM_MIN_MAX"/>
      <sheetName val="Hoja1 (8)"/>
      <sheetName val="alameda"/>
      <sheetName val="Hoja1 (9)"/>
      <sheetName val="Hoja2 (4)"/>
      <sheetName val="Hoja3 (3)"/>
      <sheetName val="Comisiones"/>
      <sheetName val="Ganancia"/>
      <sheetName val="Presupuesto"/>
      <sheetName val="subtotal1"/>
      <sheetName val="Subtotal2"/>
      <sheetName val="Hoja1 (7)"/>
      <sheetName val="Hoja1 (6)"/>
      <sheetName val="Hoja1 (5)"/>
      <sheetName val="Hoja2 (3)"/>
      <sheetName val="Hoja3 (2)"/>
      <sheetName val="Hoja1 (4)"/>
      <sheetName val="Hoja2 (2)"/>
      <sheetName val="Hoja3 (4)"/>
      <sheetName val="Hoja1 (3)"/>
      <sheetName val="Hoja1 (2)"/>
      <sheetName val="Gráfico4"/>
      <sheetName val="autos"/>
      <sheetName val="Gráfico2"/>
      <sheetName val="Hoja1"/>
      <sheetName val="Hoja2 (5)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NOMBRE</v>
          </cell>
          <cell r="B1" t="str">
            <v>APELLIDO</v>
          </cell>
          <cell r="C1" t="str">
            <v>SUELDO</v>
          </cell>
          <cell r="D1" t="str">
            <v>RENDIMIENTO</v>
          </cell>
        </row>
        <row r="2">
          <cell r="A2" t="str">
            <v>MARIA</v>
          </cell>
          <cell r="B2" t="str">
            <v>SOTO</v>
          </cell>
          <cell r="C2">
            <v>80</v>
          </cell>
          <cell r="D2">
            <v>0.7</v>
          </cell>
        </row>
        <row r="3">
          <cell r="A3" t="str">
            <v>PEDRO</v>
          </cell>
          <cell r="B3" t="str">
            <v>GONZALEZ</v>
          </cell>
          <cell r="C3">
            <v>100</v>
          </cell>
          <cell r="D3">
            <v>0.5</v>
          </cell>
        </row>
        <row r="4">
          <cell r="A4" t="str">
            <v>JUAN</v>
          </cell>
          <cell r="B4" t="str">
            <v>PEREZ</v>
          </cell>
          <cell r="C4">
            <v>70</v>
          </cell>
          <cell r="D4">
            <v>0.8</v>
          </cell>
        </row>
        <row r="5">
          <cell r="A5" t="str">
            <v>DIEGO</v>
          </cell>
          <cell r="B5" t="str">
            <v>TAPIA</v>
          </cell>
          <cell r="C5">
            <v>80</v>
          </cell>
          <cell r="D5">
            <v>0.7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NOMBRE</v>
          </cell>
          <cell r="B1" t="str">
            <v>APELLIDO</v>
          </cell>
          <cell r="C1" t="str">
            <v>SUELDO</v>
          </cell>
          <cell r="D1" t="str">
            <v>RENDIMIENTO</v>
          </cell>
        </row>
        <row r="2">
          <cell r="A2" t="str">
            <v>MARIA</v>
          </cell>
          <cell r="B2" t="str">
            <v>SOTO</v>
          </cell>
          <cell r="C2">
            <v>80</v>
          </cell>
          <cell r="D2">
            <v>0.7</v>
          </cell>
        </row>
        <row r="3">
          <cell r="A3" t="str">
            <v>PEDRO</v>
          </cell>
          <cell r="B3" t="str">
            <v>GONZALEZ</v>
          </cell>
          <cell r="C3">
            <v>100</v>
          </cell>
          <cell r="D3">
            <v>0.5</v>
          </cell>
        </row>
        <row r="4">
          <cell r="A4" t="str">
            <v>JUAN</v>
          </cell>
          <cell r="B4" t="str">
            <v>PEREZ</v>
          </cell>
          <cell r="C4">
            <v>70</v>
          </cell>
          <cell r="D4">
            <v>0.8</v>
          </cell>
        </row>
        <row r="5">
          <cell r="A5" t="str">
            <v>DIEGO</v>
          </cell>
          <cell r="B5" t="str">
            <v>TAPIA</v>
          </cell>
          <cell r="C5">
            <v>80</v>
          </cell>
          <cell r="D5">
            <v>0.7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.xls)Antiguos"/>
      <sheetName val=".xls)Nuevos"/>
      <sheetName val="total"/>
      <sheetName val="Hoy"/>
      <sheetName val="horas"/>
      <sheetName val="estadístic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CAR VERTICAL"/>
      <sheetName val="Tasa demanda"/>
      <sheetName val="Hoja2 (2)"/>
      <sheetName val="Hoja2 (3)"/>
      <sheetName val="Resumen"/>
    </sheetNames>
    <sheetDataSet>
      <sheetData sheetId="0" refreshError="1"/>
      <sheetData sheetId="1" refreshError="1"/>
      <sheetData sheetId="2">
        <row r="9">
          <cell r="A9">
            <v>10105</v>
          </cell>
          <cell r="B9" t="str">
            <v>JOSE</v>
          </cell>
          <cell r="C9" t="str">
            <v>LILLO LILLO</v>
          </cell>
          <cell r="D9" t="str">
            <v>9899700-K</v>
          </cell>
          <cell r="E9">
            <v>37377</v>
          </cell>
          <cell r="F9">
            <v>450000</v>
          </cell>
          <cell r="G9">
            <v>26000</v>
          </cell>
          <cell r="H9">
            <v>0.1229</v>
          </cell>
          <cell r="I9">
            <v>7.0000000000000007E-2</v>
          </cell>
        </row>
        <row r="10">
          <cell r="A10">
            <v>10107</v>
          </cell>
          <cell r="B10" t="str">
            <v>LUIS</v>
          </cell>
          <cell r="C10" t="str">
            <v>RIOS ASTORGA</v>
          </cell>
          <cell r="D10" t="str">
            <v>13425890-8</v>
          </cell>
          <cell r="E10">
            <v>37377</v>
          </cell>
          <cell r="F10">
            <v>230000</v>
          </cell>
          <cell r="G10">
            <v>25000</v>
          </cell>
          <cell r="H10">
            <v>0.1229</v>
          </cell>
          <cell r="I10">
            <v>7.0000000000000007E-2</v>
          </cell>
        </row>
        <row r="11">
          <cell r="A11">
            <v>10115</v>
          </cell>
          <cell r="B11" t="str">
            <v>KAREN</v>
          </cell>
          <cell r="C11" t="str">
            <v>OYARZO MANCILLA</v>
          </cell>
          <cell r="D11" t="str">
            <v>5098330-1</v>
          </cell>
          <cell r="E11">
            <v>37377</v>
          </cell>
          <cell r="F11">
            <v>350000</v>
          </cell>
          <cell r="G11">
            <v>25000</v>
          </cell>
          <cell r="H11">
            <v>0.1229</v>
          </cell>
          <cell r="I11">
            <v>7.0000000000000007E-2</v>
          </cell>
        </row>
        <row r="12">
          <cell r="A12">
            <v>10120</v>
          </cell>
          <cell r="B12" t="str">
            <v>ANA</v>
          </cell>
          <cell r="C12" t="str">
            <v>LOPEZ ARAYA</v>
          </cell>
          <cell r="D12" t="str">
            <v>3125700-7</v>
          </cell>
          <cell r="E12">
            <v>37377</v>
          </cell>
          <cell r="F12">
            <v>560000</v>
          </cell>
          <cell r="G12">
            <v>25000</v>
          </cell>
          <cell r="H12">
            <v>0.1229</v>
          </cell>
          <cell r="I12">
            <v>7.0000000000000007E-2</v>
          </cell>
        </row>
        <row r="13">
          <cell r="A13">
            <v>10999</v>
          </cell>
          <cell r="B13" t="str">
            <v>PEDRO</v>
          </cell>
          <cell r="C13" t="str">
            <v>MARQUEZ OSSA</v>
          </cell>
          <cell r="D13" t="str">
            <v>11005500-K</v>
          </cell>
          <cell r="E13">
            <v>37377</v>
          </cell>
          <cell r="F13">
            <v>500000</v>
          </cell>
          <cell r="G13">
            <v>27510</v>
          </cell>
          <cell r="H13">
            <v>0.1229</v>
          </cell>
          <cell r="I13">
            <v>7.0000000000000007E-2</v>
          </cell>
          <cell r="J13">
            <v>110000</v>
          </cell>
          <cell r="K13">
            <v>37530</v>
          </cell>
        </row>
      </sheetData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 "/>
      <sheetName val="Hoja4 "/>
      <sheetName val="Hoja5 "/>
      <sheetName val="Hoja6"/>
      <sheetName val="Hoja7"/>
      <sheetName val="Hoja8"/>
      <sheetName val="Hoja9"/>
      <sheetName val="Hoja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C7" t="str">
            <v>Exchange</v>
          </cell>
          <cell r="D7" t="str">
            <v>Skype for Business</v>
          </cell>
          <cell r="E7" t="str">
            <v>SharePoint</v>
          </cell>
          <cell r="F7" t="str">
            <v>Office 365</v>
          </cell>
          <cell r="G7" t="str">
            <v>Azure</v>
          </cell>
        </row>
      </sheetData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so Manuel Pérez Guanilo" refreshedDate="46064.725312615737" createdVersion="8" refreshedVersion="8" minRefreshableVersion="3" recordCount="249" xr:uid="{571F3C7C-3A1D-4630-B0FF-8C17357C1994}">
  <cacheSource type="worksheet">
    <worksheetSource ref="A9:J258" sheet="BASE1"/>
  </cacheSource>
  <cacheFields count="11">
    <cacheField name="FECHA" numFmtId="14">
      <sharedItems containsSemiMixedTypes="0" containsNonDate="0" containsDate="1" containsString="0" minDate="2020-01-01T00:00:00" maxDate="2020-09-06T00:00:00" count="249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</sharedItems>
    </cacheField>
    <cacheField name="FACTURA" numFmtId="0">
      <sharedItems/>
    </cacheField>
    <cacheField name="RUC" numFmtId="0">
      <sharedItems containsSemiMixedTypes="0" containsString="0" containsNumber="1" containsInteger="1" minValue="20100012856" maxValue="20503493650"/>
    </cacheField>
    <cacheField name="CLIENTES" numFmtId="0">
      <sharedItems/>
    </cacheField>
    <cacheField name="REGION" numFmtId="0">
      <sharedItems count="5">
        <s v="OESTE"/>
        <s v="NORTE"/>
        <s v="CENTRO"/>
        <s v="ESTE"/>
        <s v="SUR"/>
      </sharedItems>
    </cacheField>
    <cacheField name="LINEA" numFmtId="0">
      <sharedItems/>
    </cacheField>
    <cacheField name="REPRESENTANTE" numFmtId="0">
      <sharedItems count="5">
        <s v="Janet Lopez"/>
        <s v="Jorge Bardales"/>
        <s v="Margarita Palacios"/>
        <s v="Andres Flores"/>
        <s v="Laura Cabellero"/>
      </sharedItems>
    </cacheField>
    <cacheField name="IMPORTE" numFmtId="0">
      <sharedItems containsSemiMixedTypes="0" containsString="0" containsNumber="1" minValue="12.5" maxValue="96913"/>
    </cacheField>
    <cacheField name="IGV" numFmtId="0">
      <sharedItems containsSemiMixedTypes="0" containsString="0" containsNumber="1" minValue="2.25" maxValue="17444.339999999997"/>
    </cacheField>
    <cacheField name="TOTAL" numFmtId="0">
      <sharedItems containsSemiMixedTypes="0" containsString="0" containsNumber="1" minValue="14.75" maxValue="114357.34"/>
    </cacheField>
    <cacheField name="Tdolares" numFmtId="0" formula=" 3.15*TOTAL" databaseField="0"/>
  </cacheFields>
  <extLst>
    <ext xmlns:x14="http://schemas.microsoft.com/office/spreadsheetml/2009/9/main" uri="{725AE2AE-9491-48be-B2B4-4EB974FC3084}">
      <x14:pivotCacheDefinition pivotCacheId="8381550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so Manuel Pérez Guanilo" refreshedDate="46065.396628472219" createdVersion="8" refreshedVersion="8" minRefreshableVersion="3" recordCount="249" xr:uid="{574BF99F-23E3-4BAF-ABD8-560AA4FDEFB8}">
  <cacheSource type="worksheet">
    <worksheetSource name="TablaBase"/>
  </cacheSource>
  <cacheFields count="12">
    <cacheField name="FECHA" numFmtId="14">
      <sharedItems containsSemiMixedTypes="0" containsNonDate="0" containsDate="1" containsString="0" minDate="2020-01-01T00:00:00" maxDate="2020-09-06T00:00:00" count="249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</sharedItems>
      <fieldGroup par="11"/>
    </cacheField>
    <cacheField name="FACTURA" numFmtId="0">
      <sharedItems/>
    </cacheField>
    <cacheField name="RUC" numFmtId="0">
      <sharedItems containsSemiMixedTypes="0" containsString="0" containsNumber="1" containsInteger="1" minValue="20100012856" maxValue="20503493650"/>
    </cacheField>
    <cacheField name="CLIENTES" numFmtId="0">
      <sharedItems/>
    </cacheField>
    <cacheField name="REGION" numFmtId="0">
      <sharedItems count="5">
        <s v="OESTE"/>
        <s v="NORTE"/>
        <s v="CENTRO"/>
        <s v="ESTE"/>
        <s v="SUR"/>
      </sharedItems>
    </cacheField>
    <cacheField name="LINEA" numFmtId="0">
      <sharedItems count="2">
        <s v="BLANCA"/>
        <s v="COMPUTO"/>
      </sharedItems>
    </cacheField>
    <cacheField name="REPRESENTANTE" numFmtId="0">
      <sharedItems count="5">
        <s v="Janet Lopez"/>
        <s v="Jorge Bardales"/>
        <s v="Margarita Palacios"/>
        <s v="Andres Flores"/>
        <s v="Laura Cabellero"/>
      </sharedItems>
    </cacheField>
    <cacheField name="IMPORTE" numFmtId="0">
      <sharedItems containsSemiMixedTypes="0" containsString="0" containsNumber="1" minValue="12.5" maxValue="96913"/>
    </cacheField>
    <cacheField name="IGV" numFmtId="0">
      <sharedItems containsSemiMixedTypes="0" containsString="0" containsNumber="1" minValue="2.25" maxValue="17444.339999999997"/>
    </cacheField>
    <cacheField name="TOTAL" numFmtId="0">
      <sharedItems containsSemiMixedTypes="0" containsString="0" containsNumber="1" minValue="14.75" maxValue="114357.34"/>
    </cacheField>
    <cacheField name="Días (FECHA)" numFmtId="0" databaseField="0">
      <fieldGroup base="0">
        <rangePr groupBy="days" startDate="2020-01-01T00:00:00" endDate="2020-09-06T00:00:00"/>
        <groupItems count="368">
          <s v="&lt;1/01/202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6/09/2020"/>
        </groupItems>
      </fieldGroup>
    </cacheField>
    <cacheField name="Meses (FECHA)" numFmtId="0" databaseField="0">
      <fieldGroup base="0">
        <rangePr groupBy="months" startDate="2020-01-01T00:00:00" endDate="2020-09-06T00:00:00"/>
        <groupItems count="14">
          <s v="&lt;1/01/202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6/09/2020"/>
        </groupItems>
      </fieldGroup>
    </cacheField>
  </cacheFields>
  <extLst>
    <ext xmlns:x14="http://schemas.microsoft.com/office/spreadsheetml/2009/9/main" uri="{725AE2AE-9491-48be-B2B4-4EB974FC3084}">
      <x14:pivotCacheDefinition pivotCacheId="170407688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so Manuel Pérez Guanilo" refreshedDate="46065.426255787039" createdVersion="8" refreshedVersion="8" minRefreshableVersion="3" recordCount="78" xr:uid="{F8EA3DDC-C600-44BD-AAC8-33A82ACB0B86}">
  <cacheSource type="consolidation">
    <consolidation autoPage="0">
      <pages count="1">
        <page count="2">
          <pageItem name="FEMENINO"/>
          <pageItem name="MASCULINO"/>
        </page>
      </pages>
      <rangeSets count="2">
        <rangeSet i1="1" ref="A5:D16" sheet="HOMBRES"/>
        <rangeSet i1="0" ref="A4:D19" sheet="MUJERES"/>
      </rangeSets>
    </consolidation>
  </cacheSource>
  <cacheFields count="4">
    <cacheField name="Fila" numFmtId="0">
      <sharedItems count="5">
        <s v="Andres Flores"/>
        <s v="Jorge Bardales"/>
        <s v="Janet Lopez"/>
        <s v="Margarita Palacios"/>
        <s v="Laura Cabellero"/>
      </sharedItems>
    </cacheField>
    <cacheField name="Columna" numFmtId="0">
      <sharedItems count="3">
        <s v="IMPORTE"/>
        <s v="IGV"/>
        <s v="TOTAL"/>
      </sharedItems>
    </cacheField>
    <cacheField name="Valor" numFmtId="0">
      <sharedItems containsSemiMixedTypes="0" containsString="0" containsNumber="1" minValue="15.929999999999993" maxValue="114357.34"/>
    </cacheField>
    <cacheField name="Página1" numFmtId="0">
      <sharedItems count="2">
        <s v="MASCULINO"/>
        <s v="FEMEN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s v="001-10251"/>
    <n v="20160641810"/>
    <s v="LABORATORIOS BAGO DEL PERU S.A."/>
    <x v="0"/>
    <s v="BLANCA"/>
    <x v="0"/>
    <n v="7551"/>
    <n v="1359.1800000000003"/>
    <n v="8910.18"/>
  </r>
  <r>
    <x v="1"/>
    <s v="001-10252"/>
    <n v="20390473142"/>
    <s v="DUKE ENERGY INTERNATIONAL PERU INVESTMEN"/>
    <x v="1"/>
    <s v="BLANCA"/>
    <x v="1"/>
    <n v="5000"/>
    <n v="900"/>
    <n v="5900"/>
  </r>
  <r>
    <x v="2"/>
    <s v="001-10253"/>
    <n v="20100128994"/>
    <s v="AGA S A"/>
    <x v="2"/>
    <s v="BLANCA"/>
    <x v="2"/>
    <n v="1119.9000000000001"/>
    <n v="201.58199999999988"/>
    <n v="1321.482"/>
  </r>
  <r>
    <x v="3"/>
    <s v="001-10254"/>
    <n v="20100562848"/>
    <s v="COMPANIA UNIVERSAL TEXTIL S.A."/>
    <x v="3"/>
    <s v="BLANCA"/>
    <x v="1"/>
    <n v="96913"/>
    <n v="17444.339999999997"/>
    <n v="114357.34"/>
  </r>
  <r>
    <x v="4"/>
    <s v="001-10255"/>
    <n v="20377444257"/>
    <s v="NEGOCIACIONES JFK S.A.C."/>
    <x v="1"/>
    <s v="BLANCA"/>
    <x v="3"/>
    <n v="1176"/>
    <n v="211.67999999999984"/>
    <n v="1387.6799999999998"/>
  </r>
  <r>
    <x v="5"/>
    <s v="001-10256"/>
    <n v="20266352337"/>
    <s v="PRODUCTOS TISSUE DEL PERU S.A. O PROTISA"/>
    <x v="0"/>
    <s v="COMPUTO"/>
    <x v="1"/>
    <n v="1101.2"/>
    <n v="198.21599999999989"/>
    <n v="1299.4159999999999"/>
  </r>
  <r>
    <x v="6"/>
    <s v="001-10257"/>
    <n v="20258886420"/>
    <s v="ROSEN PERU S.A."/>
    <x v="4"/>
    <s v="COMPUTO"/>
    <x v="1"/>
    <n v="5023"/>
    <n v="904.13999999999942"/>
    <n v="5927.1399999999994"/>
  </r>
  <r>
    <x v="7"/>
    <s v="001-10258"/>
    <n v="20100051240"/>
    <s v="FCA PERUANA ETERNIT S A"/>
    <x v="1"/>
    <s v="BLANCA"/>
    <x v="3"/>
    <n v="613.20000000000005"/>
    <n v="110.37599999999998"/>
    <n v="723.57600000000002"/>
  </r>
  <r>
    <x v="8"/>
    <s v="001-10259"/>
    <n v="20418141281"/>
    <s v="CIPA S.A."/>
    <x v="3"/>
    <s v="BLANCA"/>
    <x v="1"/>
    <n v="2169"/>
    <n v="390.42000000000007"/>
    <n v="2559.42"/>
  </r>
  <r>
    <x v="9"/>
    <s v="001-10260"/>
    <n v="20122263143"/>
    <s v="FULL FISH SAC"/>
    <x v="1"/>
    <s v="BLANCA"/>
    <x v="1"/>
    <n v="2500.9"/>
    <n v="450.16199999999981"/>
    <n v="2951.0619999999999"/>
  </r>
  <r>
    <x v="10"/>
    <s v="001-10261"/>
    <n v="20101362702"/>
    <s v="CONFECCIONES TEXTIMAX S A"/>
    <x v="3"/>
    <s v="COMPUTO"/>
    <x v="1"/>
    <n v="500"/>
    <n v="90"/>
    <n v="590"/>
  </r>
  <r>
    <x v="11"/>
    <s v="001-10262"/>
    <n v="20330011930"/>
    <s v="CISCO SYSTEMS PERU S.A"/>
    <x v="3"/>
    <s v="COMPUTO"/>
    <x v="1"/>
    <n v="268.8"/>
    <n v="48.383999999999958"/>
    <n v="317.18399999999997"/>
  </r>
  <r>
    <x v="12"/>
    <s v="001-10263"/>
    <n v="20100134455"/>
    <s v="INSTITUTO SUPERIOR SAN IGNACIO DE LOYOLA"/>
    <x v="3"/>
    <s v="BLANCA"/>
    <x v="3"/>
    <n v="1614.8"/>
    <n v="290.66399999999999"/>
    <n v="1905.4639999999999"/>
  </r>
  <r>
    <x v="13"/>
    <s v="001-10264"/>
    <n v="20100073723"/>
    <s v="CORPORACION PERUANA DE PRODUCTOS QUIMICO"/>
    <x v="3"/>
    <s v="COMPUTO"/>
    <x v="3"/>
    <n v="1810"/>
    <n v="325.79999999999973"/>
    <n v="2135.7999999999997"/>
  </r>
  <r>
    <x v="14"/>
    <s v="001-10265"/>
    <n v="20305354563"/>
    <s v="BOTICAS FASA SA"/>
    <x v="1"/>
    <s v="BLANCA"/>
    <x v="0"/>
    <n v="88.5"/>
    <n v="15.929999999999993"/>
    <n v="104.42999999999999"/>
  </r>
  <r>
    <x v="15"/>
    <s v="001-10266"/>
    <n v="20101908781"/>
    <s v="EMPRESA DE ASESORIA Y SERVICIOS S A"/>
    <x v="1"/>
    <s v="COMPUTO"/>
    <x v="1"/>
    <n v="2436.1799999999998"/>
    <n v="438.51239999999962"/>
    <n v="2874.6923999999995"/>
  </r>
  <r>
    <x v="16"/>
    <s v="001-10267"/>
    <n v="20102154046"/>
    <s v="INDUSTRIAS ALIMENTARIAS S R LTDA"/>
    <x v="3"/>
    <s v="BLANCA"/>
    <x v="1"/>
    <n v="5398.73"/>
    <n v="971.77139999999963"/>
    <n v="6370.5013999999992"/>
  </r>
  <r>
    <x v="17"/>
    <s v="001-10268"/>
    <n v="20297687655"/>
    <s v="COBRECON S.A."/>
    <x v="0"/>
    <s v="COMPUTO"/>
    <x v="0"/>
    <n v="136.30000000000001"/>
    <n v="24.533999999999992"/>
    <n v="160.834"/>
  </r>
  <r>
    <x v="18"/>
    <s v="001-10269"/>
    <n v="20100067596"/>
    <s v="FABRICA DE CUBIERTOS SAC"/>
    <x v="1"/>
    <s v="BLANCA"/>
    <x v="0"/>
    <n v="1549.6"/>
    <n v="278.92799999999988"/>
    <n v="1828.5279999999998"/>
  </r>
  <r>
    <x v="19"/>
    <s v="001-10270"/>
    <n v="20101067379"/>
    <s v="INVERSIONES MIDAS S A"/>
    <x v="3"/>
    <s v="COMPUTO"/>
    <x v="1"/>
    <n v="950"/>
    <n v="171"/>
    <n v="1121"/>
  </r>
  <r>
    <x v="20"/>
    <s v="001-10271"/>
    <n v="20100136661"/>
    <s v="INVERSIONES SAN BORJA S A"/>
    <x v="1"/>
    <s v="COMPUTO"/>
    <x v="0"/>
    <n v="403.2"/>
    <n v="72.575999999999965"/>
    <n v="475.77599999999995"/>
  </r>
  <r>
    <x v="21"/>
    <s v="001-10272"/>
    <n v="20263674929"/>
    <s v="FIRTH INDUSTRIES PERU S.A."/>
    <x v="3"/>
    <s v="BLANCA"/>
    <x v="3"/>
    <n v="1689.78"/>
    <n v="304.16039999999998"/>
    <n v="1993.9404"/>
  </r>
  <r>
    <x v="22"/>
    <s v="001-10273"/>
    <n v="20341966133"/>
    <s v="SUPERFARMA S.A.C."/>
    <x v="3"/>
    <s v="COMPUTO"/>
    <x v="1"/>
    <n v="103.2"/>
    <n v="18.575999999999993"/>
    <n v="121.776"/>
  </r>
  <r>
    <x v="23"/>
    <s v="001-10274"/>
    <n v="20101161634"/>
    <s v="DIAR INGENIEROS S A"/>
    <x v="4"/>
    <s v="BLANCA"/>
    <x v="4"/>
    <n v="899"/>
    <n v="161.81999999999994"/>
    <n v="1060.82"/>
  </r>
  <r>
    <x v="24"/>
    <s v="001-10275"/>
    <n v="20389244431"/>
    <s v="AMERICAN PACIFIC TRADER DEL PERU S.A."/>
    <x v="1"/>
    <s v="COMPUTO"/>
    <x v="0"/>
    <n v="2222.4"/>
    <n v="400.0319999999997"/>
    <n v="2622.4319999999998"/>
  </r>
  <r>
    <x v="25"/>
    <s v="001-10276"/>
    <n v="20100037689"/>
    <s v="CIA MINERA AGREGADOS CALCAREOS S A"/>
    <x v="3"/>
    <s v="COMPUTO"/>
    <x v="1"/>
    <n v="287.88"/>
    <n v="51.818399999999997"/>
    <n v="339.69839999999999"/>
  </r>
  <r>
    <x v="26"/>
    <s v="001-10277"/>
    <n v="20262561781"/>
    <s v="METROCOLOR S.A."/>
    <x v="3"/>
    <s v="BLANCA"/>
    <x v="0"/>
    <n v="86.4"/>
    <n v="15.551999999999992"/>
    <n v="101.952"/>
  </r>
  <r>
    <x v="27"/>
    <s v="001-10278"/>
    <n v="20100119227"/>
    <s v="3M PERU S A"/>
    <x v="3"/>
    <s v="BLANCA"/>
    <x v="4"/>
    <n v="2713.5"/>
    <n v="488.42999999999984"/>
    <n v="3201.93"/>
  </r>
  <r>
    <x v="28"/>
    <s v="001-10279"/>
    <n v="20100020441"/>
    <s v="DETROIT DIESEL - MTU PERU S.A.C."/>
    <x v="3"/>
    <s v="BLANCA"/>
    <x v="4"/>
    <n v="1622.4"/>
    <n v="292.03199999999993"/>
    <n v="1914.432"/>
  </r>
  <r>
    <x v="29"/>
    <s v="001-10280"/>
    <n v="20101313833"/>
    <s v="GASOLINERAS S.A.C."/>
    <x v="1"/>
    <s v="BLANCA"/>
    <x v="0"/>
    <n v="802"/>
    <n v="144.3599999999999"/>
    <n v="946.3599999999999"/>
  </r>
  <r>
    <x v="30"/>
    <s v="001-10281"/>
    <n v="20100044626"/>
    <s v="DEPOSITOS S A DEPSA"/>
    <x v="1"/>
    <s v="COMPUTO"/>
    <x v="0"/>
    <n v="966.8"/>
    <n v="174.02399999999989"/>
    <n v="1140.8239999999998"/>
  </r>
  <r>
    <x v="31"/>
    <s v="001-10282"/>
    <n v="20100277051"/>
    <s v="CONSTRUCTORES S A"/>
    <x v="3"/>
    <s v="COMPUTO"/>
    <x v="3"/>
    <n v="224.83"/>
    <n v="40.469399999999979"/>
    <n v="265.29939999999999"/>
  </r>
  <r>
    <x v="32"/>
    <s v="001-10283"/>
    <n v="20100051916"/>
    <s v="SULFATO DE COBRE S A"/>
    <x v="3"/>
    <s v="COMPUTO"/>
    <x v="3"/>
    <n v="49.8"/>
    <n v="8.9639999999999986"/>
    <n v="58.763999999999996"/>
  </r>
  <r>
    <x v="33"/>
    <s v="001-10284"/>
    <n v="20112999621"/>
    <s v="SOC. NAC. DE MINERIA PETROLEO Y ENERGIA"/>
    <x v="3"/>
    <s v="BLANCA"/>
    <x v="0"/>
    <n v="321.12"/>
    <n v="57.801600000000008"/>
    <n v="378.92160000000001"/>
  </r>
  <r>
    <x v="34"/>
    <s v="001-10285"/>
    <n v="20147895705"/>
    <s v="SISTEMAS &amp; SERVICIOS S.A.C."/>
    <x v="3"/>
    <s v="BLANCA"/>
    <x v="4"/>
    <n v="631.6"/>
    <n v="113.68799999999999"/>
    <n v="745.28800000000001"/>
  </r>
  <r>
    <x v="35"/>
    <s v="001-10286"/>
    <n v="20257364608"/>
    <s v="BOART LONGYEAR SAC"/>
    <x v="1"/>
    <s v="COMPUTO"/>
    <x v="0"/>
    <n v="1994.52"/>
    <n v="359.01359999999977"/>
    <n v="2353.5335999999998"/>
  </r>
  <r>
    <x v="36"/>
    <s v="001-10287"/>
    <n v="20160641810"/>
    <s v="LABORATORIOS BAGO DEL PERU S.A."/>
    <x v="3"/>
    <s v="COMPUTO"/>
    <x v="0"/>
    <n v="1792"/>
    <n v="322.55999999999995"/>
    <n v="2114.56"/>
  </r>
  <r>
    <x v="37"/>
    <s v="001-10288"/>
    <n v="20390473142"/>
    <s v="DUKE ENERGY INTERNATIONAL PERU INVESTMEN"/>
    <x v="1"/>
    <s v="COMPUTO"/>
    <x v="0"/>
    <n v="1031.7"/>
    <n v="185.7059999999999"/>
    <n v="1217.4059999999999"/>
  </r>
  <r>
    <x v="38"/>
    <s v="001-10289"/>
    <n v="20100562848"/>
    <s v="COMPANIA UNIVERSAL TEXTIL S.A."/>
    <x v="1"/>
    <s v="COMPUTO"/>
    <x v="0"/>
    <n v="1838.2"/>
    <n v="330.87599999999998"/>
    <n v="2169.076"/>
  </r>
  <r>
    <x v="39"/>
    <s v="001-10290"/>
    <n v="20101433499"/>
    <s v="GEMINIS ADUANAS S.A."/>
    <x v="3"/>
    <s v="BLANCA"/>
    <x v="4"/>
    <n v="176.1"/>
    <n v="31.697999999999979"/>
    <n v="207.79799999999997"/>
  </r>
  <r>
    <x v="40"/>
    <s v="001-10291"/>
    <n v="20100498902"/>
    <s v="TECNICENTRO CUZCO S.A.C."/>
    <x v="3"/>
    <s v="COMPUTO"/>
    <x v="3"/>
    <n v="156"/>
    <n v="28.079999999999984"/>
    <n v="184.07999999999998"/>
  </r>
  <r>
    <x v="41"/>
    <s v="001-10292"/>
    <n v="20258886420"/>
    <s v="ROSEN PERU S.A."/>
    <x v="1"/>
    <s v="BLANCA"/>
    <x v="3"/>
    <n v="1328"/>
    <n v="239.03999999999996"/>
    <n v="1567.04"/>
  </r>
  <r>
    <x v="42"/>
    <s v="001-10293"/>
    <n v="20100051240"/>
    <s v="FCA PERUANA ETERNIT S A"/>
    <x v="0"/>
    <s v="BLANCA"/>
    <x v="4"/>
    <n v="180.48"/>
    <n v="32.486399999999975"/>
    <n v="212.96639999999996"/>
  </r>
  <r>
    <x v="43"/>
    <s v="001-10294"/>
    <n v="20503493650"/>
    <s v="SERVICIOS MEDICOS ASOCIAD.SAN BORJA S.A.C"/>
    <x v="1"/>
    <s v="BLANCA"/>
    <x v="0"/>
    <n v="386.2"/>
    <n v="69.515999999999963"/>
    <n v="455.71599999999995"/>
  </r>
  <r>
    <x v="44"/>
    <s v="001-10295"/>
    <n v="20301708816"/>
    <s v="CINES EL POLO S.A"/>
    <x v="3"/>
    <s v="BLANCA"/>
    <x v="4"/>
    <n v="1512"/>
    <n v="272.15999999999985"/>
    <n v="1784.1599999999999"/>
  </r>
  <r>
    <x v="45"/>
    <s v="001-10296"/>
    <n v="20100136661"/>
    <s v="INVERSIONES SAN BORJA S A"/>
    <x v="0"/>
    <s v="BLANCA"/>
    <x v="4"/>
    <n v="259.51"/>
    <n v="46.711799999999982"/>
    <n v="306.22179999999997"/>
  </r>
  <r>
    <x v="46"/>
    <s v="001-10297"/>
    <n v="20100177341"/>
    <s v="PRODUCTOS ROCHE Q F S A"/>
    <x v="1"/>
    <s v="COMPUTO"/>
    <x v="0"/>
    <n v="851.2"/>
    <n v="153.21600000000001"/>
    <n v="1004.4160000000001"/>
  </r>
  <r>
    <x v="47"/>
    <s v="001-10298"/>
    <n v="20307791936"/>
    <s v="FIDELITY INTERNATIONAL RESOURCE MANAGEME"/>
    <x v="0"/>
    <s v="BLANCA"/>
    <x v="4"/>
    <n v="575"/>
    <n v="103.5"/>
    <n v="678.5"/>
  </r>
  <r>
    <x v="48"/>
    <s v="001-10299"/>
    <n v="20100061636"/>
    <s v="BOINAS AZULES S A"/>
    <x v="3"/>
    <s v="COMPUTO"/>
    <x v="0"/>
    <n v="8623.4500000000007"/>
    <n v="1552.2209999999995"/>
    <n v="10175.671"/>
  </r>
  <r>
    <x v="49"/>
    <s v="001-10300"/>
    <n v="20112999621"/>
    <s v="SOC. NAC. DE MINERIA PETROLEO Y ENERGIA"/>
    <x v="1"/>
    <s v="BLANCA"/>
    <x v="4"/>
    <n v="225.5"/>
    <n v="40.589999999999975"/>
    <n v="266.08999999999997"/>
  </r>
  <r>
    <x v="50"/>
    <s v="001-10301"/>
    <n v="20100128994"/>
    <s v="AGA S A"/>
    <x v="3"/>
    <s v="BLANCA"/>
    <x v="4"/>
    <n v="2222.1999999999998"/>
    <n v="399.99599999999964"/>
    <n v="2622.1959999999995"/>
  </r>
  <r>
    <x v="51"/>
    <s v="001-10302"/>
    <n v="20390473142"/>
    <s v="DUKE ENERGY INTERNATIONAL PERU INVESTMEN"/>
    <x v="0"/>
    <s v="BLANCA"/>
    <x v="3"/>
    <n v="880.5"/>
    <n v="158.49"/>
    <n v="1038.99"/>
  </r>
  <r>
    <x v="52"/>
    <s v="001-10303"/>
    <n v="20213053915"/>
    <s v="RIO TINTO MINING AND EXPLO LIM SUC PER"/>
    <x v="3"/>
    <s v="BLANCA"/>
    <x v="4"/>
    <n v="1072.43"/>
    <n v="193.03739999999993"/>
    <n v="1265.4674"/>
  </r>
  <r>
    <x v="53"/>
    <s v="001-10304"/>
    <n v="20101433499"/>
    <s v="GEMINIS ADUANAS S.A."/>
    <x v="3"/>
    <s v="COMPUTO"/>
    <x v="3"/>
    <n v="2844.5"/>
    <n v="512.00999999999976"/>
    <n v="3356.5099999999998"/>
  </r>
  <r>
    <x v="54"/>
    <s v="001-10305"/>
    <n v="20100498902"/>
    <s v="TECNICENTRO CUZCO S.A.C."/>
    <x v="1"/>
    <s v="BLANCA"/>
    <x v="4"/>
    <n v="1761"/>
    <n v="316.98"/>
    <n v="2077.98"/>
  </r>
  <r>
    <x v="55"/>
    <s v="001-10306"/>
    <n v="20377444257"/>
    <s v="NEGOCIACIONES JFK S.A.C."/>
    <x v="0"/>
    <s v="COMPUTO"/>
    <x v="0"/>
    <n v="155"/>
    <n v="27.899999999999977"/>
    <n v="182.89999999999998"/>
  </r>
  <r>
    <x v="56"/>
    <s v="001-10307"/>
    <n v="20267223735"/>
    <s v="LIGHT S.A.C"/>
    <x v="3"/>
    <s v="BLANCA"/>
    <x v="4"/>
    <n v="550.59"/>
    <n v="99.106199999999944"/>
    <n v="649.69619999999998"/>
  </r>
  <r>
    <x v="57"/>
    <s v="001-10308"/>
    <n v="20266352337"/>
    <s v="PRODUCTOS TISSUE DEL PERU S.A. O PROTISA"/>
    <x v="1"/>
    <s v="BLANCA"/>
    <x v="0"/>
    <n v="1501.09"/>
    <n v="270.19619999999986"/>
    <n v="1771.2861999999998"/>
  </r>
  <r>
    <x v="58"/>
    <s v="001-10309"/>
    <n v="20100067758"/>
    <s v="LEE FILTER DEL PERU S A"/>
    <x v="3"/>
    <s v="BLANCA"/>
    <x v="0"/>
    <n v="310"/>
    <n v="55.799999999999955"/>
    <n v="365.79999999999995"/>
  </r>
  <r>
    <x v="59"/>
    <s v="001-10310"/>
    <n v="20418141281"/>
    <s v="CIPA S.A."/>
    <x v="1"/>
    <s v="BLANCA"/>
    <x v="0"/>
    <n v="330"/>
    <n v="59.399999999999977"/>
    <n v="389.4"/>
  </r>
  <r>
    <x v="60"/>
    <s v="001-10311"/>
    <n v="20266352337"/>
    <s v="PRODUCTOS TISSUE DEL PERU S.A. O PROTISA"/>
    <x v="0"/>
    <s v="BLANCA"/>
    <x v="4"/>
    <n v="72"/>
    <n v="12.959999999999994"/>
    <n v="84.96"/>
  </r>
  <r>
    <x v="61"/>
    <s v="001-10312"/>
    <n v="20258886420"/>
    <s v="ROSEN PERU S.A."/>
    <x v="3"/>
    <s v="COMPUTO"/>
    <x v="3"/>
    <n v="4725"/>
    <n v="850.5"/>
    <n v="5575.5"/>
  </r>
  <r>
    <x v="62"/>
    <s v="001-10313"/>
    <n v="20101362702"/>
    <s v="CONFECCIONES TEXTIMAX S A"/>
    <x v="2"/>
    <s v="BLANCA"/>
    <x v="2"/>
    <n v="353.2"/>
    <n v="63.575999999999965"/>
    <n v="416.77599999999995"/>
  </r>
  <r>
    <x v="63"/>
    <s v="001-10314"/>
    <n v="20100261058"/>
    <s v="INMOBILIARIA ELENA S.A.C."/>
    <x v="1"/>
    <s v="BLANCA"/>
    <x v="4"/>
    <n v="464"/>
    <n v="83.519999999999982"/>
    <n v="547.52"/>
  </r>
  <r>
    <x v="64"/>
    <s v="001-10315"/>
    <n v="20100134455"/>
    <s v="INSTITUTO SUPERIOR SAN IGNACIO DE LOYOLA"/>
    <x v="3"/>
    <s v="BLANCA"/>
    <x v="4"/>
    <n v="1336.95"/>
    <n v="240.65099999999984"/>
    <n v="1577.6009999999999"/>
  </r>
  <r>
    <x v="65"/>
    <s v="001-10316"/>
    <n v="20414407677"/>
    <s v="PERU TRAVEL BUREAU S.A"/>
    <x v="4"/>
    <s v="COMPUTO"/>
    <x v="0"/>
    <n v="479.75"/>
    <n v="86.355000000000018"/>
    <n v="566.10500000000002"/>
  </r>
  <r>
    <x v="66"/>
    <s v="001-10317"/>
    <n v="20503493650"/>
    <s v="SERVICIOS MEDICOS ASOCIAD.SAN BORJA S.A.C"/>
    <x v="3"/>
    <s v="BLANCA"/>
    <x v="4"/>
    <n v="589"/>
    <n v="106.01999999999998"/>
    <n v="695.02"/>
  </r>
  <r>
    <x v="67"/>
    <s v="001-10318"/>
    <n v="20100136661"/>
    <s v="INVERSIONES SAN BORJA S A"/>
    <x v="2"/>
    <s v="BLANCA"/>
    <x v="2"/>
    <n v="2054"/>
    <n v="369.7199999999998"/>
    <n v="2423.7199999999998"/>
  </r>
  <r>
    <x v="68"/>
    <s v="001-10319"/>
    <n v="20307791936"/>
    <s v="FIDELITY INTERNATIONAL RESOURCE MANAGEME"/>
    <x v="3"/>
    <s v="BLANCA"/>
    <x v="1"/>
    <n v="1779.2"/>
    <n v="320.25600000000009"/>
    <n v="2099.4560000000001"/>
  </r>
  <r>
    <x v="69"/>
    <s v="001-10320"/>
    <n v="20341966133"/>
    <s v="SUPERFARMA S.A.C."/>
    <x v="3"/>
    <s v="BLANCA"/>
    <x v="4"/>
    <n v="397.8"/>
    <n v="71.603999999999985"/>
    <n v="469.404"/>
  </r>
  <r>
    <x v="70"/>
    <s v="001-10321"/>
    <n v="20389244431"/>
    <s v="AMERICAN PACIFIC TRADER DEL PERU S.A."/>
    <x v="4"/>
    <s v="COMPUTO"/>
    <x v="1"/>
    <n v="601.83000000000004"/>
    <n v="108.32939999999996"/>
    <n v="710.15940000000001"/>
  </r>
  <r>
    <x v="71"/>
    <s v="001-10322"/>
    <n v="20430832957"/>
    <s v="ANGLOGOLD EXPLORACION PERU S.A.C."/>
    <x v="1"/>
    <s v="BLANCA"/>
    <x v="3"/>
    <n v="1930.4"/>
    <n v="347.47199999999975"/>
    <n v="2277.8719999999998"/>
  </r>
  <r>
    <x v="72"/>
    <s v="001-10323"/>
    <n v="20100116121"/>
    <s v="LUFTHANSA LINEAS AEREAS ALEMANAS"/>
    <x v="3"/>
    <s v="COMPUTO"/>
    <x v="1"/>
    <n v="1423"/>
    <n v="256.13999999999987"/>
    <n v="1679.1399999999999"/>
  </r>
  <r>
    <x v="73"/>
    <s v="001-10324"/>
    <n v="20101313833"/>
    <s v="GASOLINERAS S.A.C."/>
    <x v="1"/>
    <s v="BLANCA"/>
    <x v="4"/>
    <n v="660"/>
    <n v="118.79999999999995"/>
    <n v="778.8"/>
  </r>
  <r>
    <x v="74"/>
    <s v="001-10325"/>
    <n v="20100044626"/>
    <s v="DEPOSITOS S A DEPSA"/>
    <x v="0"/>
    <s v="COMPUTO"/>
    <x v="0"/>
    <n v="1287.4000000000001"/>
    <n v="231.73199999999997"/>
    <n v="1519.1320000000001"/>
  </r>
  <r>
    <x v="75"/>
    <s v="001-10326"/>
    <n v="20100277051"/>
    <s v="CONSTRUCTORES S A"/>
    <x v="1"/>
    <s v="COMPUTO"/>
    <x v="0"/>
    <n v="375.5"/>
    <n v="67.589999999999975"/>
    <n v="443.09"/>
  </r>
  <r>
    <x v="76"/>
    <s v="001-10327"/>
    <n v="20100051916"/>
    <s v="SULFATO DE COBRE S A"/>
    <x v="3"/>
    <s v="COMPUTO"/>
    <x v="3"/>
    <n v="63"/>
    <n v="11.339999999999989"/>
    <n v="74.339999999999989"/>
  </r>
  <r>
    <x v="77"/>
    <s v="001-10328"/>
    <n v="20204441007"/>
    <s v="JOHNSON &amp; JOHNSON DEL PERU S.A"/>
    <x v="1"/>
    <s v="COMPUTO"/>
    <x v="0"/>
    <n v="1296"/>
    <n v="233.27999999999997"/>
    <n v="1529.28"/>
  </r>
  <r>
    <x v="78"/>
    <s v="001-10329"/>
    <n v="20108572958"/>
    <s v="SOCIEDAD IMPORTADORA S.A."/>
    <x v="1"/>
    <s v="COMPUTO"/>
    <x v="1"/>
    <n v="484.26"/>
    <n v="87.166799999999967"/>
    <n v="571.42679999999996"/>
  </r>
  <r>
    <x v="79"/>
    <s v="001-10330"/>
    <n v="20143988725"/>
    <s v="INVERSIONES LUXURY SOCIEDAD ANONIMA"/>
    <x v="1"/>
    <s v="BLANCA"/>
    <x v="0"/>
    <n v="360"/>
    <n v="64.799999999999955"/>
    <n v="424.79999999999995"/>
  </r>
  <r>
    <x v="80"/>
    <s v="001-10331"/>
    <n v="20297687655"/>
    <s v="COBRECON S.A."/>
    <x v="0"/>
    <s v="BLANCA"/>
    <x v="3"/>
    <n v="1498.35"/>
    <n v="269.70299999999997"/>
    <n v="1768.0529999999999"/>
  </r>
  <r>
    <x v="81"/>
    <s v="001-10332"/>
    <n v="20100129028"/>
    <s v="NOVARTIS BIOSCIENCES PERU S.A."/>
    <x v="1"/>
    <s v="BLANCA"/>
    <x v="0"/>
    <n v="3118"/>
    <n v="561.23999999999978"/>
    <n v="3679.24"/>
  </r>
  <r>
    <x v="82"/>
    <s v="001-10333"/>
    <n v="20301708816"/>
    <s v="CINES EL POLO S.A"/>
    <x v="3"/>
    <s v="BLANCA"/>
    <x v="0"/>
    <n v="88"/>
    <n v="15.839999999999989"/>
    <n v="103.83999999999999"/>
  </r>
  <r>
    <x v="83"/>
    <s v="001-10334"/>
    <n v="20100136661"/>
    <s v="INVERSIONES SAN BORJA S A"/>
    <x v="4"/>
    <s v="COMPUTO"/>
    <x v="0"/>
    <n v="320"/>
    <n v="57.599999999999966"/>
    <n v="377.59999999999997"/>
  </r>
  <r>
    <x v="84"/>
    <s v="001-10335"/>
    <n v="20100177341"/>
    <s v="PRODUCTOS ROCHE Q F S A"/>
    <x v="3"/>
    <s v="COMPUTO"/>
    <x v="0"/>
    <n v="4337"/>
    <n v="780.65999999999985"/>
    <n v="5117.66"/>
  </r>
  <r>
    <x v="85"/>
    <s v="001-10336"/>
    <n v="20263674929"/>
    <s v="FIRTH INDUSTRIES PERU S.A."/>
    <x v="3"/>
    <s v="BLANCA"/>
    <x v="0"/>
    <n v="616"/>
    <n v="110.88"/>
    <n v="726.88"/>
  </r>
  <r>
    <x v="86"/>
    <s v="001-10337"/>
    <n v="20341966133"/>
    <s v="SUPERFARMA S.A.C."/>
    <x v="4"/>
    <s v="COMPUTO"/>
    <x v="0"/>
    <n v="1477"/>
    <n v="265.8599999999999"/>
    <n v="1742.86"/>
  </r>
  <r>
    <x v="87"/>
    <s v="001-10338"/>
    <n v="20338735651"/>
    <s v="INVERSIONES REGIO MONTANA S.R.LTDA."/>
    <x v="0"/>
    <s v="BLANCA"/>
    <x v="4"/>
    <n v="236.25"/>
    <n v="42.524999999999977"/>
    <n v="278.77499999999998"/>
  </r>
  <r>
    <x v="88"/>
    <s v="001-10339"/>
    <n v="20101161634"/>
    <s v="DIAR INGENIEROS S A"/>
    <x v="3"/>
    <s v="BLANCA"/>
    <x v="4"/>
    <n v="344"/>
    <n v="61.919999999999959"/>
    <n v="405.91999999999996"/>
  </r>
  <r>
    <x v="89"/>
    <s v="001-10340"/>
    <n v="20262561781"/>
    <s v="METROCOLOR S.A."/>
    <x v="1"/>
    <s v="BLANCA"/>
    <x v="0"/>
    <n v="96.5"/>
    <n v="17.36999999999999"/>
    <n v="113.86999999999999"/>
  </r>
  <r>
    <x v="90"/>
    <s v="001-10341"/>
    <n v="20100082633"/>
    <s v="SKF DEL PERU S A"/>
    <x v="1"/>
    <s v="BLANCA"/>
    <x v="3"/>
    <n v="12.5"/>
    <n v="2.25"/>
    <n v="14.75"/>
  </r>
  <r>
    <x v="91"/>
    <s v="001-10342"/>
    <n v="20100136661"/>
    <s v="INVERSIONES SAN BORJA S A"/>
    <x v="4"/>
    <s v="BLANCA"/>
    <x v="0"/>
    <n v="191.1"/>
    <n v="34.397999999999996"/>
    <n v="225.49799999999999"/>
  </r>
  <r>
    <x v="92"/>
    <s v="001-10343"/>
    <n v="20100177341"/>
    <s v="PRODUCTOS ROCHE Q F S A"/>
    <x v="3"/>
    <s v="BLANCA"/>
    <x v="4"/>
    <n v="2158"/>
    <n v="388.44000000000005"/>
    <n v="2546.44"/>
  </r>
  <r>
    <x v="93"/>
    <s v="001-10344"/>
    <n v="20263674929"/>
    <s v="FIRTH INDUSTRIES PERU S.A."/>
    <x v="2"/>
    <s v="COMPUTO"/>
    <x v="0"/>
    <n v="2341.36"/>
    <n v="421.44479999999976"/>
    <n v="2762.8047999999999"/>
  </r>
  <r>
    <x v="94"/>
    <s v="001-10345"/>
    <n v="20389244431"/>
    <s v="AMERICAN PACIFIC TRADER DEL PERU S.A."/>
    <x v="1"/>
    <s v="BLANCA"/>
    <x v="3"/>
    <n v="477"/>
    <n v="85.860000000000014"/>
    <n v="562.86"/>
  </r>
  <r>
    <x v="95"/>
    <s v="001-10346"/>
    <n v="20100037689"/>
    <s v="CIA MINERA AGREGADOS CALCAREOS S A"/>
    <x v="3"/>
    <s v="BLANCA"/>
    <x v="4"/>
    <n v="250.8"/>
    <n v="45.144000000000005"/>
    <n v="295.94400000000002"/>
  </r>
  <r>
    <x v="96"/>
    <s v="001-10347"/>
    <n v="20267223735"/>
    <s v="LIGHT S.A.C"/>
    <x v="1"/>
    <s v="BLANCA"/>
    <x v="4"/>
    <n v="625"/>
    <n v="112.5"/>
    <n v="737.5"/>
  </r>
  <r>
    <x v="97"/>
    <s v="001-10348"/>
    <n v="20266352337"/>
    <s v="PRODUCTOS TISSUE DEL PERU S.A. O PROTISA"/>
    <x v="3"/>
    <s v="COMPUTO"/>
    <x v="0"/>
    <n v="2966.5"/>
    <n v="533.9699999999998"/>
    <n v="3500.47"/>
  </r>
  <r>
    <x v="98"/>
    <s v="001-10349"/>
    <n v="20258886420"/>
    <s v="ROSEN PERU S.A."/>
    <x v="1"/>
    <s v="BLANCA"/>
    <x v="0"/>
    <n v="660"/>
    <n v="118.79999999999995"/>
    <n v="778.8"/>
  </r>
  <r>
    <x v="99"/>
    <s v="001-10350"/>
    <n v="20100051240"/>
    <s v="FCA PERUANA ETERNIT S A"/>
    <x v="4"/>
    <s v="BLANCA"/>
    <x v="4"/>
    <n v="2048.21"/>
    <n v="368.67779999999993"/>
    <n v="2416.8878"/>
  </r>
  <r>
    <x v="100"/>
    <s v="001-10351"/>
    <n v="20418141281"/>
    <s v="CIPA S.A."/>
    <x v="3"/>
    <s v="BLANCA"/>
    <x v="0"/>
    <n v="519"/>
    <n v="93.419999999999959"/>
    <n v="612.41999999999996"/>
  </r>
  <r>
    <x v="101"/>
    <s v="001-10352"/>
    <n v="20122263143"/>
    <s v="FULL FISH SAC"/>
    <x v="2"/>
    <s v="BLANCA"/>
    <x v="2"/>
    <n v="441.15"/>
    <n v="79.406999999999925"/>
    <n v="520.5569999999999"/>
  </r>
  <r>
    <x v="102"/>
    <s v="001-10353"/>
    <n v="20100261058"/>
    <s v="INMOBILIARIA ELENA S.A.C."/>
    <x v="4"/>
    <s v="COMPUTO"/>
    <x v="1"/>
    <n v="1096.2"/>
    <n v="197.31600000000003"/>
    <n v="1293.5160000000001"/>
  </r>
  <r>
    <x v="103"/>
    <s v="001-10354"/>
    <n v="20100136741"/>
    <s v="MINSUR S. A."/>
    <x v="1"/>
    <s v="COMPUTO"/>
    <x v="1"/>
    <n v="1979.23"/>
    <n v="356.26139999999987"/>
    <n v="2335.4913999999999"/>
  </r>
  <r>
    <x v="104"/>
    <s v="001-10355"/>
    <n v="20330011930"/>
    <s v="CISCO SYSTEMS PERU S.A"/>
    <x v="0"/>
    <s v="BLANCA"/>
    <x v="1"/>
    <n v="2058.46"/>
    <n v="370.52279999999973"/>
    <n v="2428.9827999999998"/>
  </r>
  <r>
    <x v="105"/>
    <s v="001-10356"/>
    <n v="20100134455"/>
    <s v="INSTITUTO SUPERIOR SAN IGNACIO DE LOYOLA"/>
    <x v="0"/>
    <s v="BLANCA"/>
    <x v="1"/>
    <n v="310"/>
    <n v="55.799999999999955"/>
    <n v="365.79999999999995"/>
  </r>
  <r>
    <x v="106"/>
    <s v="001-10357"/>
    <n v="20100562848"/>
    <s v="COMPANIA UNIVERSAL TEXTIL S.A."/>
    <x v="0"/>
    <s v="BLANCA"/>
    <x v="4"/>
    <n v="70"/>
    <n v="12.599999999999994"/>
    <n v="82.6"/>
  </r>
  <r>
    <x v="107"/>
    <s v="001-10358"/>
    <n v="20100498902"/>
    <s v="TECNICENTRO CUZCO S.A.C."/>
    <x v="3"/>
    <s v="COMPUTO"/>
    <x v="0"/>
    <n v="6379.4"/>
    <n v="1148.2919999999995"/>
    <n v="7527.6919999999991"/>
  </r>
  <r>
    <x v="108"/>
    <s v="001-10359"/>
    <n v="20377444257"/>
    <s v="NEGOCIACIONES JFK S.A.C."/>
    <x v="2"/>
    <s v="BLANCA"/>
    <x v="2"/>
    <n v="934.5"/>
    <n v="168.21000000000004"/>
    <n v="1102.71"/>
  </r>
  <r>
    <x v="109"/>
    <s v="001-10360"/>
    <n v="20266352337"/>
    <s v="PRODUCTOS TISSUE DEL PERU S.A. O PROTISA"/>
    <x v="0"/>
    <s v="COMPUTO"/>
    <x v="0"/>
    <n v="932.05"/>
    <n v="167.76900000000001"/>
    <n v="1099.819"/>
  </r>
  <r>
    <x v="110"/>
    <s v="001-10361"/>
    <n v="20258886420"/>
    <s v="ROSEN PERU S.A."/>
    <x v="0"/>
    <s v="COMPUTO"/>
    <x v="0"/>
    <n v="858"/>
    <n v="154.43999999999994"/>
    <n v="1012.4399999999999"/>
  </r>
  <r>
    <x v="111"/>
    <s v="001-10362"/>
    <n v="20100051240"/>
    <s v="FCA PERUANA ETERNIT S A"/>
    <x v="1"/>
    <s v="COMPUTO"/>
    <x v="0"/>
    <n v="1447.5"/>
    <n v="260.54999999999995"/>
    <n v="1708.05"/>
  </r>
  <r>
    <x v="112"/>
    <s v="001-10363"/>
    <n v="20503493650"/>
    <s v="SERVICIOS MEDICOS ASOCIAD.SAN BORJA S.A.C"/>
    <x v="0"/>
    <s v="COMPUTO"/>
    <x v="1"/>
    <n v="742.5"/>
    <n v="133.64999999999998"/>
    <n v="876.15"/>
  </r>
  <r>
    <x v="113"/>
    <s v="001-10364"/>
    <n v="20301708816"/>
    <s v="CINES EL POLO S.A"/>
    <x v="0"/>
    <s v="COMPUTO"/>
    <x v="0"/>
    <n v="475.15"/>
    <n v="85.52699999999993"/>
    <n v="560.67699999999991"/>
  </r>
  <r>
    <x v="114"/>
    <s v="001-10365"/>
    <n v="20263674929"/>
    <s v="FIRTH INDUSTRIES PERU S.A."/>
    <x v="1"/>
    <s v="BLANCA"/>
    <x v="4"/>
    <n v="1788.63"/>
    <n v="321.95339999999987"/>
    <n v="2110.5834"/>
  </r>
  <r>
    <x v="115"/>
    <s v="001-10366"/>
    <n v="20307791936"/>
    <s v="FIDELITY INTERNATIONAL RESOURCE MANAGEME"/>
    <x v="0"/>
    <s v="COMPUTO"/>
    <x v="0"/>
    <n v="456"/>
    <n v="82.079999999999927"/>
    <n v="538.07999999999993"/>
  </r>
  <r>
    <x v="116"/>
    <s v="001-10367"/>
    <n v="20338735651"/>
    <s v="INVERSIONES REGIO MONTANA S.R.LTDA."/>
    <x v="1"/>
    <s v="BLANCA"/>
    <x v="4"/>
    <n v="360"/>
    <n v="64.799999999999955"/>
    <n v="424.79999999999995"/>
  </r>
  <r>
    <x v="117"/>
    <s v="001-10368"/>
    <n v="20257364608"/>
    <s v="BOART LONGYEAR SAC"/>
    <x v="1"/>
    <s v="BLANCA"/>
    <x v="0"/>
    <n v="220"/>
    <n v="39.599999999999966"/>
    <n v="259.59999999999997"/>
  </r>
  <r>
    <x v="118"/>
    <s v="001-10369"/>
    <n v="20160641810"/>
    <s v="LABORATORIOS BAGO DEL PERU S.A."/>
    <x v="0"/>
    <s v="COMPUTO"/>
    <x v="0"/>
    <n v="2362.25"/>
    <n v="425.20499999999993"/>
    <n v="2787.4549999999999"/>
  </r>
  <r>
    <x v="119"/>
    <s v="001-10370"/>
    <n v="20390473142"/>
    <s v="DUKE ENERGY INTERNATIONAL PERU INVESTMEN"/>
    <x v="1"/>
    <s v="BLANCA"/>
    <x v="3"/>
    <n v="4422"/>
    <n v="795.96"/>
    <n v="5217.96"/>
  </r>
  <r>
    <x v="120"/>
    <s v="001-10371"/>
    <n v="20213053915"/>
    <s v="RIO TINTO MINING AND EXPLO LIM SUC PER"/>
    <x v="3"/>
    <s v="BLANCA"/>
    <x v="4"/>
    <n v="74.400000000000006"/>
    <n v="13.391999999999996"/>
    <n v="87.792000000000002"/>
  </r>
  <r>
    <x v="121"/>
    <s v="001-10372"/>
    <n v="20100498902"/>
    <s v="TECNICENTRO CUZCO S.A.C."/>
    <x v="0"/>
    <s v="BLANCA"/>
    <x v="4"/>
    <n v="1762.7"/>
    <n v="317.28599999999983"/>
    <n v="2079.9859999999999"/>
  </r>
  <r>
    <x v="122"/>
    <s v="001-10373"/>
    <n v="20267223735"/>
    <s v="LIGHT S.A.C"/>
    <x v="2"/>
    <s v="COMPUTO"/>
    <x v="0"/>
    <n v="265.35000000000002"/>
    <n v="47.762999999999977"/>
    <n v="313.113"/>
  </r>
  <r>
    <x v="123"/>
    <s v="001-10374"/>
    <n v="20266352337"/>
    <s v="PRODUCTOS TISSUE DEL PERU S.A. O PROTISA"/>
    <x v="0"/>
    <s v="BLANCA"/>
    <x v="4"/>
    <n v="1586"/>
    <n v="285.47999999999979"/>
    <n v="1871.4799999999998"/>
  </r>
  <r>
    <x v="124"/>
    <s v="001-10375"/>
    <n v="20122263143"/>
    <s v="FULL FISH SAC"/>
    <x v="3"/>
    <s v="BLANCA"/>
    <x v="3"/>
    <n v="1733.06"/>
    <n v="311.95079999999984"/>
    <n v="2045.0107999999998"/>
  </r>
  <r>
    <x v="125"/>
    <s v="001-10376"/>
    <n v="20100136741"/>
    <s v="MINSUR S. A."/>
    <x v="3"/>
    <s v="BLANCA"/>
    <x v="4"/>
    <n v="2233"/>
    <n v="401.94000000000005"/>
    <n v="2634.94"/>
  </r>
  <r>
    <x v="126"/>
    <s v="001-10377"/>
    <n v="20330011930"/>
    <s v="CISCO SYSTEMS PERU S.A"/>
    <x v="3"/>
    <s v="COMPUTO"/>
    <x v="4"/>
    <n v="4813.5"/>
    <n v="866.42999999999938"/>
    <n v="5679.9299999999994"/>
  </r>
  <r>
    <x v="127"/>
    <s v="001-10378"/>
    <n v="20100073723"/>
    <s v="CORPORACION PERUANA DE PRODUCTOS QUIMICO"/>
    <x v="1"/>
    <s v="BLANCA"/>
    <x v="3"/>
    <n v="1014"/>
    <n v="182.51999999999998"/>
    <n v="1196.52"/>
  </r>
  <r>
    <x v="128"/>
    <s v="001-10379"/>
    <n v="20204441007"/>
    <s v="JOHNSON &amp; JOHNSON DEL PERU S.A"/>
    <x v="3"/>
    <s v="BLANCA"/>
    <x v="4"/>
    <n v="2772"/>
    <n v="498.96000000000004"/>
    <n v="3270.96"/>
  </r>
  <r>
    <x v="129"/>
    <s v="001-10380"/>
    <n v="20305354563"/>
    <s v="BOTICAS FASA SA"/>
    <x v="3"/>
    <s v="COMPUTO"/>
    <x v="3"/>
    <n v="4288.8500000000004"/>
    <n v="771.99299999999948"/>
    <n v="5060.8429999999998"/>
  </r>
  <r>
    <x v="130"/>
    <s v="001-10381"/>
    <n v="20101908781"/>
    <s v="EMPRESA DE ASESORIA Y SERVICIOS S A"/>
    <x v="3"/>
    <s v="COMPUTO"/>
    <x v="3"/>
    <n v="2769"/>
    <n v="498.41999999999962"/>
    <n v="3267.4199999999996"/>
  </r>
  <r>
    <x v="131"/>
    <s v="001-10382"/>
    <n v="20108572958"/>
    <s v="SOCIEDAD IMPORTADORA S.A."/>
    <x v="0"/>
    <s v="COMPUTO"/>
    <x v="0"/>
    <n v="329.69"/>
    <n v="59.344200000000001"/>
    <n v="389.0342"/>
  </r>
  <r>
    <x v="132"/>
    <s v="001-10383"/>
    <n v="20143988725"/>
    <s v="INVERSIONES LUXURY SOCIEDAD ANONIMA"/>
    <x v="0"/>
    <s v="BLANCA"/>
    <x v="3"/>
    <n v="616.5"/>
    <n v="110.96999999999991"/>
    <n v="727.46999999999991"/>
  </r>
  <r>
    <x v="133"/>
    <s v="001-10384"/>
    <n v="20102154046"/>
    <s v="INDUSTRIAS ALIMENTARIAS S R LTDA"/>
    <x v="4"/>
    <s v="COMPUTO"/>
    <x v="0"/>
    <n v="933.5"/>
    <n v="168.02999999999997"/>
    <n v="1101.53"/>
  </r>
  <r>
    <x v="134"/>
    <s v="001-10385"/>
    <n v="20100118760"/>
    <s v="DINERS CLUB PERU S A"/>
    <x v="4"/>
    <s v="BLANCA"/>
    <x v="3"/>
    <n v="491.5"/>
    <n v="88.469999999999914"/>
    <n v="579.96999999999991"/>
  </r>
  <r>
    <x v="135"/>
    <s v="001-10386"/>
    <n v="20100129028"/>
    <s v="NOVARTIS BIOSCIENCES PERU S.A."/>
    <x v="3"/>
    <s v="COMPUTO"/>
    <x v="3"/>
    <n v="6750"/>
    <n v="1215"/>
    <n v="7965"/>
  </r>
  <r>
    <x v="136"/>
    <s v="001-10387"/>
    <n v="20503493650"/>
    <s v="SERVICIOS MEDICOS ASOCIAD.SAN BORJA S.A.C"/>
    <x v="0"/>
    <s v="COMPUTO"/>
    <x v="0"/>
    <n v="1402"/>
    <n v="252.3599999999999"/>
    <n v="1654.36"/>
  </r>
  <r>
    <x v="137"/>
    <s v="001-10388"/>
    <n v="20112999621"/>
    <s v="SOC. NAC. DE MINERIA PETROLEO Y ENERGIA"/>
    <x v="3"/>
    <s v="BLANCA"/>
    <x v="4"/>
    <n v="1692"/>
    <n v="304.55999999999995"/>
    <n v="1996.56"/>
  </r>
  <r>
    <x v="138"/>
    <s v="001-10389"/>
    <n v="20330011930"/>
    <s v="CISCO SYSTEMS PERU S.A"/>
    <x v="3"/>
    <s v="BLANCA"/>
    <x v="0"/>
    <n v="1773"/>
    <n v="319.13999999999987"/>
    <n v="2092.14"/>
  </r>
  <r>
    <x v="139"/>
    <s v="001-10390"/>
    <n v="20100134455"/>
    <s v="INSTITUTO SUPERIOR SAN IGNACIO DE LOYOLA"/>
    <x v="3"/>
    <s v="BLANCA"/>
    <x v="3"/>
    <n v="405.75"/>
    <n v="73.034999999999968"/>
    <n v="478.78499999999997"/>
  </r>
  <r>
    <x v="140"/>
    <s v="001-10391"/>
    <n v="20100073723"/>
    <s v="CORPORACION PERUANA DE PRODUCTOS QUIMICO"/>
    <x v="3"/>
    <s v="BLANCA"/>
    <x v="4"/>
    <n v="1485.8"/>
    <n v="267.44399999999996"/>
    <n v="1753.2439999999999"/>
  </r>
  <r>
    <x v="141"/>
    <s v="001-10392"/>
    <n v="20100012856"/>
    <s v="COMPAÑIA GOODYEAR DEL PERU S.A."/>
    <x v="0"/>
    <s v="COMPUTO"/>
    <x v="0"/>
    <n v="273.60000000000002"/>
    <n v="49.24799999999999"/>
    <n v="322.84800000000001"/>
  </r>
  <r>
    <x v="142"/>
    <s v="001-10393"/>
    <n v="20101908781"/>
    <s v="EMPRESA DE ASESORIA Y SERVICIOS S A"/>
    <x v="3"/>
    <s v="BLANCA"/>
    <x v="4"/>
    <n v="810"/>
    <n v="145.79999999999995"/>
    <n v="955.8"/>
  </r>
  <r>
    <x v="143"/>
    <s v="001-10394"/>
    <n v="20108572958"/>
    <s v="SOCIEDAD IMPORTADORA S.A."/>
    <x v="0"/>
    <s v="COMPUTO"/>
    <x v="0"/>
    <n v="1332"/>
    <n v="239.76"/>
    <n v="1571.76"/>
  </r>
  <r>
    <x v="144"/>
    <s v="001-10395"/>
    <n v="20108056941"/>
    <s v="SOCIEDAD ADUANERA DEL CALLAO S.A."/>
    <x v="1"/>
    <s v="BLANCA"/>
    <x v="4"/>
    <n v="305"/>
    <n v="54.899999999999977"/>
    <n v="359.9"/>
  </r>
  <r>
    <x v="145"/>
    <s v="001-10396"/>
    <n v="20102154046"/>
    <s v="INDUSTRIAS ALIMENTARIAS S R LTDA"/>
    <x v="3"/>
    <s v="BLANCA"/>
    <x v="4"/>
    <n v="3740"/>
    <n v="673.19999999999982"/>
    <n v="4413.2"/>
  </r>
  <r>
    <x v="146"/>
    <s v="001-10397"/>
    <n v="20297687655"/>
    <s v="COBRECON S.A."/>
    <x v="1"/>
    <s v="COMPUTO"/>
    <x v="0"/>
    <n v="858"/>
    <n v="154.43999999999994"/>
    <n v="1012.4399999999999"/>
  </r>
  <r>
    <x v="147"/>
    <s v="001-10398"/>
    <n v="20100067596"/>
    <s v="FABRICA DE CUBIERTOS SAC"/>
    <x v="3"/>
    <s v="BLANCA"/>
    <x v="2"/>
    <n v="5218"/>
    <n v="939.23999999999978"/>
    <n v="6157.24"/>
  </r>
  <r>
    <x v="148"/>
    <s v="001-10399"/>
    <n v="20377444257"/>
    <s v="NEGOCIACIONES JFK S.A.C."/>
    <x v="2"/>
    <s v="BLANCA"/>
    <x v="2"/>
    <n v="934.5"/>
    <n v="168.21000000000004"/>
    <n v="1102.71"/>
  </r>
  <r>
    <x v="149"/>
    <s v="001-10400"/>
    <n v="20266352337"/>
    <s v="PRODUCTOS TISSUE DEL PERU S.A. O PROTISA"/>
    <x v="0"/>
    <s v="COMPUTO"/>
    <x v="0"/>
    <n v="932.05"/>
    <n v="167.76900000000001"/>
    <n v="1099.819"/>
  </r>
  <r>
    <x v="150"/>
    <s v="001-10401"/>
    <n v="20258886420"/>
    <s v="ROSEN PERU S.A."/>
    <x v="0"/>
    <s v="COMPUTO"/>
    <x v="0"/>
    <n v="858"/>
    <n v="154.43999999999994"/>
    <n v="1012.4399999999999"/>
  </r>
  <r>
    <x v="151"/>
    <s v="001-10402"/>
    <n v="20100051240"/>
    <s v="FCA PERUANA ETERNIT S A"/>
    <x v="1"/>
    <s v="COMPUTO"/>
    <x v="0"/>
    <n v="1447.5"/>
    <n v="260.54999999999995"/>
    <n v="1708.05"/>
  </r>
  <r>
    <x v="152"/>
    <s v="001-10403"/>
    <n v="20503493650"/>
    <s v="SERVICIOS MEDICOS ASOCIAD.SAN BORJA S.A.C"/>
    <x v="0"/>
    <s v="COMPUTO"/>
    <x v="1"/>
    <n v="742.5"/>
    <n v="133.64999999999998"/>
    <n v="876.15"/>
  </r>
  <r>
    <x v="153"/>
    <s v="001-10404"/>
    <n v="20301708816"/>
    <s v="CINES EL POLO S.A"/>
    <x v="0"/>
    <s v="COMPUTO"/>
    <x v="0"/>
    <n v="475.15"/>
    <n v="85.52699999999993"/>
    <n v="560.67699999999991"/>
  </r>
  <r>
    <x v="154"/>
    <s v="001-10405"/>
    <n v="20263674929"/>
    <s v="FIRTH INDUSTRIES PERU S.A."/>
    <x v="1"/>
    <s v="BLANCA"/>
    <x v="4"/>
    <n v="1788.63"/>
    <n v="321.95339999999987"/>
    <n v="2110.5834"/>
  </r>
  <r>
    <x v="155"/>
    <s v="001-10406"/>
    <n v="20307791936"/>
    <s v="FIDELITY INTERNATIONAL RESOURCE MANAGEME"/>
    <x v="0"/>
    <s v="COMPUTO"/>
    <x v="0"/>
    <n v="456"/>
    <n v="82.079999999999927"/>
    <n v="538.07999999999993"/>
  </r>
  <r>
    <x v="156"/>
    <s v="001-10407"/>
    <n v="20338735651"/>
    <s v="INVERSIONES REGIO MONTANA S.R.LTDA."/>
    <x v="1"/>
    <s v="BLANCA"/>
    <x v="4"/>
    <n v="360"/>
    <n v="64.799999999999955"/>
    <n v="424.79999999999995"/>
  </r>
  <r>
    <x v="157"/>
    <s v="001-10408"/>
    <n v="20257364608"/>
    <s v="BOART LONGYEAR SAC"/>
    <x v="1"/>
    <s v="BLANCA"/>
    <x v="0"/>
    <n v="220"/>
    <n v="39.599999999999966"/>
    <n v="259.59999999999997"/>
  </r>
  <r>
    <x v="158"/>
    <s v="001-10409"/>
    <n v="20160641810"/>
    <s v="LABORATORIOS BAGO DEL PERU S.A."/>
    <x v="0"/>
    <s v="COMPUTO"/>
    <x v="0"/>
    <n v="2362.25"/>
    <n v="425.20499999999993"/>
    <n v="2787.4549999999999"/>
  </r>
  <r>
    <x v="159"/>
    <s v="001-10410"/>
    <n v="20390473142"/>
    <s v="DUKE ENERGY INTERNATIONAL PERU INVESTMEN"/>
    <x v="1"/>
    <s v="BLANCA"/>
    <x v="3"/>
    <n v="4422"/>
    <n v="795.96"/>
    <n v="5217.96"/>
  </r>
  <r>
    <x v="160"/>
    <s v="001-10411"/>
    <n v="20213053915"/>
    <s v="RIO TINTO MINING AND EXPLO LIM SUC PER"/>
    <x v="3"/>
    <s v="BLANCA"/>
    <x v="4"/>
    <n v="74.400000000000006"/>
    <n v="13.391999999999996"/>
    <n v="87.792000000000002"/>
  </r>
  <r>
    <x v="161"/>
    <s v="001-10412"/>
    <n v="20100498902"/>
    <s v="TECNICENTRO CUZCO S.A.C."/>
    <x v="0"/>
    <s v="BLANCA"/>
    <x v="4"/>
    <n v="1762.7"/>
    <n v="317.28599999999983"/>
    <n v="2079.9859999999999"/>
  </r>
  <r>
    <x v="162"/>
    <s v="001-10413"/>
    <n v="20267223735"/>
    <s v="LIGHT S.A.C"/>
    <x v="2"/>
    <s v="COMPUTO"/>
    <x v="0"/>
    <n v="265.35000000000002"/>
    <n v="47.762999999999977"/>
    <n v="313.113"/>
  </r>
  <r>
    <x v="163"/>
    <s v="001-10414"/>
    <n v="20266352337"/>
    <s v="PRODUCTOS TISSUE DEL PERU S.A. O PROTISA"/>
    <x v="0"/>
    <s v="BLANCA"/>
    <x v="4"/>
    <n v="1586"/>
    <n v="285.47999999999979"/>
    <n v="1871.4799999999998"/>
  </r>
  <r>
    <x v="164"/>
    <s v="001-10415"/>
    <n v="20122263143"/>
    <s v="FULL FISH SAC"/>
    <x v="3"/>
    <s v="BLANCA"/>
    <x v="3"/>
    <n v="1733.06"/>
    <n v="311.95079999999984"/>
    <n v="2045.0107999999998"/>
  </r>
  <r>
    <x v="165"/>
    <s v="001-10416"/>
    <n v="20100136741"/>
    <s v="MINSUR S. A."/>
    <x v="3"/>
    <s v="BLANCA"/>
    <x v="4"/>
    <n v="2233"/>
    <n v="401.94000000000005"/>
    <n v="2634.94"/>
  </r>
  <r>
    <x v="166"/>
    <s v="001-10417"/>
    <n v="20330011930"/>
    <s v="CISCO SYSTEMS PERU S.A"/>
    <x v="3"/>
    <s v="COMPUTO"/>
    <x v="4"/>
    <n v="4813.5"/>
    <n v="866.42999999999938"/>
    <n v="5679.9299999999994"/>
  </r>
  <r>
    <x v="167"/>
    <s v="001-10418"/>
    <n v="20100073723"/>
    <s v="CORPORACION PERUANA DE PRODUCTOS QUIMICO"/>
    <x v="1"/>
    <s v="BLANCA"/>
    <x v="3"/>
    <n v="1014"/>
    <n v="182.51999999999998"/>
    <n v="1196.52"/>
  </r>
  <r>
    <x v="168"/>
    <s v="001-10419"/>
    <n v="20204441007"/>
    <s v="JOHNSON &amp; JOHNSON DEL PERU S.A"/>
    <x v="3"/>
    <s v="BLANCA"/>
    <x v="4"/>
    <n v="2772"/>
    <n v="498.96000000000004"/>
    <n v="3270.96"/>
  </r>
  <r>
    <x v="169"/>
    <s v="001-10420"/>
    <n v="20305354563"/>
    <s v="BOTICAS FASA SA"/>
    <x v="3"/>
    <s v="COMPUTO"/>
    <x v="3"/>
    <n v="4288.8500000000004"/>
    <n v="771.99299999999948"/>
    <n v="5060.8429999999998"/>
  </r>
  <r>
    <x v="170"/>
    <s v="001-10421"/>
    <n v="20101908781"/>
    <s v="EMPRESA DE ASESORIA Y SERVICIOS S A"/>
    <x v="3"/>
    <s v="COMPUTO"/>
    <x v="3"/>
    <n v="2769"/>
    <n v="498.41999999999962"/>
    <n v="3267.4199999999996"/>
  </r>
  <r>
    <x v="171"/>
    <s v="001-10422"/>
    <n v="20108572958"/>
    <s v="SOCIEDAD IMPORTADORA S.A."/>
    <x v="0"/>
    <s v="COMPUTO"/>
    <x v="0"/>
    <n v="329.69"/>
    <n v="59.344200000000001"/>
    <n v="389.0342"/>
  </r>
  <r>
    <x v="172"/>
    <s v="001-10423"/>
    <n v="20143988725"/>
    <s v="INVERSIONES LUXURY SOCIEDAD ANONIMA"/>
    <x v="0"/>
    <s v="BLANCA"/>
    <x v="3"/>
    <n v="616.5"/>
    <n v="110.96999999999991"/>
    <n v="727.46999999999991"/>
  </r>
  <r>
    <x v="173"/>
    <s v="001-10424"/>
    <n v="20102154046"/>
    <s v="INDUSTRIAS ALIMENTARIAS S R LTDA"/>
    <x v="4"/>
    <s v="COMPUTO"/>
    <x v="0"/>
    <n v="933.5"/>
    <n v="168.02999999999997"/>
    <n v="1101.53"/>
  </r>
  <r>
    <x v="174"/>
    <s v="001-10425"/>
    <n v="20100118760"/>
    <s v="DINERS CLUB PERU S A"/>
    <x v="4"/>
    <s v="BLANCA"/>
    <x v="3"/>
    <n v="491.5"/>
    <n v="88.469999999999914"/>
    <n v="579.96999999999991"/>
  </r>
  <r>
    <x v="175"/>
    <s v="001-10426"/>
    <n v="20100129028"/>
    <s v="NOVARTIS BIOSCIENCES PERU S.A."/>
    <x v="3"/>
    <s v="COMPUTO"/>
    <x v="3"/>
    <n v="6750"/>
    <n v="1215"/>
    <n v="7965"/>
  </r>
  <r>
    <x v="176"/>
    <s v="001-10427"/>
    <n v="20503493650"/>
    <s v="SERVICIOS MEDICOS ASOCIAD.SAN BORJA S.A.C"/>
    <x v="0"/>
    <s v="COMPUTO"/>
    <x v="0"/>
    <n v="1402"/>
    <n v="252.3599999999999"/>
    <n v="1654.36"/>
  </r>
  <r>
    <x v="177"/>
    <s v="001-10428"/>
    <n v="20112999621"/>
    <s v="SOC. NAC. DE MINERIA PETROLEO Y ENERGIA"/>
    <x v="3"/>
    <s v="BLANCA"/>
    <x v="4"/>
    <n v="1692"/>
    <n v="304.55999999999995"/>
    <n v="1996.56"/>
  </r>
  <r>
    <x v="178"/>
    <s v="001-10429"/>
    <n v="20330011930"/>
    <s v="CISCO SYSTEMS PERU S.A"/>
    <x v="3"/>
    <s v="BLANCA"/>
    <x v="0"/>
    <n v="1773"/>
    <n v="319.13999999999987"/>
    <n v="2092.14"/>
  </r>
  <r>
    <x v="179"/>
    <s v="001-10430"/>
    <n v="20100134455"/>
    <s v="INSTITUTO SUPERIOR SAN IGNACIO DE LOYOLA"/>
    <x v="3"/>
    <s v="BLANCA"/>
    <x v="3"/>
    <n v="405.75"/>
    <n v="73.034999999999968"/>
    <n v="478.78499999999997"/>
  </r>
  <r>
    <x v="180"/>
    <s v="001-10431"/>
    <n v="20100073723"/>
    <s v="CORPORACION PERUANA DE PRODUCTOS QUIMICO"/>
    <x v="3"/>
    <s v="BLANCA"/>
    <x v="4"/>
    <n v="1485.8"/>
    <n v="267.44399999999996"/>
    <n v="1753.2439999999999"/>
  </r>
  <r>
    <x v="181"/>
    <s v="001-10432"/>
    <n v="20100012856"/>
    <s v="COMPAÑIA GOODYEAR DEL PERU S.A."/>
    <x v="0"/>
    <s v="COMPUTO"/>
    <x v="0"/>
    <n v="273.60000000000002"/>
    <n v="49.24799999999999"/>
    <n v="322.84800000000001"/>
  </r>
  <r>
    <x v="182"/>
    <s v="001-10433"/>
    <n v="20101908781"/>
    <s v="EMPRESA DE ASESORIA Y SERVICIOS S A"/>
    <x v="3"/>
    <s v="BLANCA"/>
    <x v="4"/>
    <n v="810"/>
    <n v="145.79999999999995"/>
    <n v="955.8"/>
  </r>
  <r>
    <x v="183"/>
    <s v="001-10434"/>
    <n v="20108572958"/>
    <s v="SOCIEDAD IMPORTADORA S.A."/>
    <x v="0"/>
    <s v="COMPUTO"/>
    <x v="0"/>
    <n v="1332"/>
    <n v="239.76"/>
    <n v="1571.76"/>
  </r>
  <r>
    <x v="184"/>
    <s v="001-10435"/>
    <n v="20108056941"/>
    <s v="SOCIEDAD ADUANERA DEL CALLAO S.A."/>
    <x v="1"/>
    <s v="BLANCA"/>
    <x v="4"/>
    <n v="305"/>
    <n v="54.899999999999977"/>
    <n v="359.9"/>
  </r>
  <r>
    <x v="185"/>
    <s v="001-10436"/>
    <n v="20102154046"/>
    <s v="INDUSTRIAS ALIMENTARIAS S R LTDA"/>
    <x v="3"/>
    <s v="BLANCA"/>
    <x v="4"/>
    <n v="3740"/>
    <n v="673.19999999999982"/>
    <n v="4413.2"/>
  </r>
  <r>
    <x v="186"/>
    <s v="001-10437"/>
    <n v="20297687655"/>
    <s v="COBRECON S.A."/>
    <x v="1"/>
    <s v="COMPUTO"/>
    <x v="0"/>
    <n v="858"/>
    <n v="154.43999999999994"/>
    <n v="1012.4399999999999"/>
  </r>
  <r>
    <x v="187"/>
    <s v="001-10438"/>
    <n v="20100067596"/>
    <s v="FABRICA DE CUBIERTOS SAC"/>
    <x v="3"/>
    <s v="BLANCA"/>
    <x v="2"/>
    <n v="5218"/>
    <n v="939.23999999999978"/>
    <n v="6157.24"/>
  </r>
  <r>
    <x v="188"/>
    <s v="001-10424"/>
    <n v="20102154046"/>
    <s v="INDUSTRIAS ALIMENTARIAS S R LTDA"/>
    <x v="4"/>
    <s v="COMPUTO"/>
    <x v="0"/>
    <n v="933.5"/>
    <n v="168.02999999999997"/>
    <n v="1101.53"/>
  </r>
  <r>
    <x v="189"/>
    <s v="001-10425"/>
    <n v="20100118760"/>
    <s v="DINERS CLUB PERU S A"/>
    <x v="4"/>
    <s v="BLANCA"/>
    <x v="3"/>
    <n v="491.5"/>
    <n v="88.469999999999914"/>
    <n v="579.96999999999991"/>
  </r>
  <r>
    <x v="190"/>
    <s v="001-10426"/>
    <n v="20100129028"/>
    <s v="NOVARTIS BIOSCIENCES PERU S.A."/>
    <x v="3"/>
    <s v="COMPUTO"/>
    <x v="3"/>
    <n v="6750"/>
    <n v="1215"/>
    <n v="7965"/>
  </r>
  <r>
    <x v="191"/>
    <s v="001-10427"/>
    <n v="20503493650"/>
    <s v="SERVICIOS MEDICOS ASOCIAD.SAN BORJA S.A.C"/>
    <x v="0"/>
    <s v="COMPUTO"/>
    <x v="0"/>
    <n v="1402"/>
    <n v="252.3599999999999"/>
    <n v="1654.36"/>
  </r>
  <r>
    <x v="192"/>
    <s v="001-10428"/>
    <n v="20112999621"/>
    <s v="SOC. NAC. DE MINERIA PETROLEO Y ENERGIA"/>
    <x v="3"/>
    <s v="BLANCA"/>
    <x v="4"/>
    <n v="1692"/>
    <n v="304.55999999999995"/>
    <n v="1996.56"/>
  </r>
  <r>
    <x v="193"/>
    <s v="001-10429"/>
    <n v="20330011930"/>
    <s v="CISCO SYSTEMS PERU S.A"/>
    <x v="3"/>
    <s v="BLANCA"/>
    <x v="0"/>
    <n v="1773"/>
    <n v="319.13999999999987"/>
    <n v="2092.14"/>
  </r>
  <r>
    <x v="194"/>
    <s v="001-10430"/>
    <n v="20100134455"/>
    <s v="INSTITUTO SUPERIOR SAN IGNACIO DE LOYOLA"/>
    <x v="3"/>
    <s v="BLANCA"/>
    <x v="3"/>
    <n v="405.75"/>
    <n v="73.034999999999968"/>
    <n v="478.78499999999997"/>
  </r>
  <r>
    <x v="195"/>
    <s v="001-10431"/>
    <n v="20100073723"/>
    <s v="CORPORACION PERUANA DE PRODUCTOS QUIMICO"/>
    <x v="3"/>
    <s v="BLANCA"/>
    <x v="4"/>
    <n v="1485.8"/>
    <n v="267.44399999999996"/>
    <n v="1753.2439999999999"/>
  </r>
  <r>
    <x v="196"/>
    <s v="001-10432"/>
    <n v="20100012856"/>
    <s v="COMPAÑIA GOODYEAR DEL PERU S.A."/>
    <x v="0"/>
    <s v="COMPUTO"/>
    <x v="0"/>
    <n v="273.60000000000002"/>
    <n v="49.24799999999999"/>
    <n v="322.84800000000001"/>
  </r>
  <r>
    <x v="197"/>
    <s v="001-10433"/>
    <n v="20101908781"/>
    <s v="EMPRESA DE ASESORIA Y SERVICIOS S A"/>
    <x v="3"/>
    <s v="BLANCA"/>
    <x v="4"/>
    <n v="810"/>
    <n v="145.79999999999995"/>
    <n v="955.8"/>
  </r>
  <r>
    <x v="198"/>
    <s v="001-10434"/>
    <n v="20108572958"/>
    <s v="SOCIEDAD IMPORTADORA S.A."/>
    <x v="0"/>
    <s v="COMPUTO"/>
    <x v="0"/>
    <n v="1332"/>
    <n v="239.76"/>
    <n v="1571.76"/>
  </r>
  <r>
    <x v="199"/>
    <s v="001-10435"/>
    <n v="20108056941"/>
    <s v="SOCIEDAD ADUANERA DEL CALLAO S.A."/>
    <x v="1"/>
    <s v="BLANCA"/>
    <x v="4"/>
    <n v="305"/>
    <n v="54.899999999999977"/>
    <n v="359.9"/>
  </r>
  <r>
    <x v="200"/>
    <s v="001-10436"/>
    <n v="20102154046"/>
    <s v="INDUSTRIAS ALIMENTARIAS S R LTDA"/>
    <x v="3"/>
    <s v="BLANCA"/>
    <x v="4"/>
    <n v="3740"/>
    <n v="673.19999999999982"/>
    <n v="4413.2"/>
  </r>
  <r>
    <x v="201"/>
    <s v="001-10437"/>
    <n v="20297687655"/>
    <s v="COBRECON S.A."/>
    <x v="1"/>
    <s v="COMPUTO"/>
    <x v="0"/>
    <n v="858"/>
    <n v="154.43999999999994"/>
    <n v="1012.4399999999999"/>
  </r>
  <r>
    <x v="202"/>
    <s v="001-10438"/>
    <n v="20100067596"/>
    <s v="FABRICA DE CUBIERTOS SAC"/>
    <x v="3"/>
    <s v="BLANCA"/>
    <x v="2"/>
    <n v="5218"/>
    <n v="939.23999999999978"/>
    <n v="6157.24"/>
  </r>
  <r>
    <x v="203"/>
    <s v="001-10432"/>
    <n v="20100012856"/>
    <s v="COMPAÑIA GOODYEAR DEL PERU S.A."/>
    <x v="0"/>
    <s v="COMPUTO"/>
    <x v="0"/>
    <n v="273.60000000000002"/>
    <n v="49.24799999999999"/>
    <n v="322.84800000000001"/>
  </r>
  <r>
    <x v="204"/>
    <s v="001-10433"/>
    <n v="20101908781"/>
    <s v="EMPRESA DE ASESORIA Y SERVICIOS S A"/>
    <x v="3"/>
    <s v="BLANCA"/>
    <x v="4"/>
    <n v="810"/>
    <n v="145.79999999999995"/>
    <n v="955.8"/>
  </r>
  <r>
    <x v="205"/>
    <s v="001-10434"/>
    <n v="20108572958"/>
    <s v="SOCIEDAD IMPORTADORA S.A."/>
    <x v="0"/>
    <s v="COMPUTO"/>
    <x v="0"/>
    <n v="1332"/>
    <n v="239.76"/>
    <n v="1571.76"/>
  </r>
  <r>
    <x v="206"/>
    <s v="001-10435"/>
    <n v="20108056941"/>
    <s v="SOCIEDAD ADUANERA DEL CALLAO S.A."/>
    <x v="1"/>
    <s v="BLANCA"/>
    <x v="4"/>
    <n v="305"/>
    <n v="54.899999999999977"/>
    <n v="359.9"/>
  </r>
  <r>
    <x v="207"/>
    <s v="001-10436"/>
    <n v="20102154046"/>
    <s v="INDUSTRIAS ALIMENTARIAS S R LTDA"/>
    <x v="3"/>
    <s v="BLANCA"/>
    <x v="4"/>
    <n v="3740"/>
    <n v="673.19999999999982"/>
    <n v="4413.2"/>
  </r>
  <r>
    <x v="208"/>
    <s v="001-10437"/>
    <n v="20297687655"/>
    <s v="COBRECON S.A."/>
    <x v="1"/>
    <s v="COMPUTO"/>
    <x v="0"/>
    <n v="858"/>
    <n v="154.43999999999994"/>
    <n v="1012.4399999999999"/>
  </r>
  <r>
    <x v="209"/>
    <s v="001-10438"/>
    <n v="20100067596"/>
    <s v="FABRICA DE CUBIERTOS SAC"/>
    <x v="3"/>
    <s v="BLANCA"/>
    <x v="2"/>
    <n v="5218"/>
    <n v="939.23999999999978"/>
    <n v="6157.24"/>
  </r>
  <r>
    <x v="210"/>
    <s v="001-10424"/>
    <n v="20102154046"/>
    <s v="INDUSTRIAS ALIMENTARIAS S R LTDA"/>
    <x v="4"/>
    <s v="COMPUTO"/>
    <x v="0"/>
    <n v="933.5"/>
    <n v="168.02999999999997"/>
    <n v="1101.53"/>
  </r>
  <r>
    <x v="211"/>
    <s v="001-10425"/>
    <n v="20100118760"/>
    <s v="DINERS CLUB PERU S A"/>
    <x v="4"/>
    <s v="BLANCA"/>
    <x v="3"/>
    <n v="491.5"/>
    <n v="88.469999999999914"/>
    <n v="579.96999999999991"/>
  </r>
  <r>
    <x v="212"/>
    <s v="001-10426"/>
    <n v="20100129028"/>
    <s v="NOVARTIS BIOSCIENCES PERU S.A."/>
    <x v="3"/>
    <s v="COMPUTO"/>
    <x v="3"/>
    <n v="6750"/>
    <n v="1215"/>
    <n v="7965"/>
  </r>
  <r>
    <x v="213"/>
    <s v="001-10427"/>
    <n v="20503493650"/>
    <s v="SERVICIOS MEDICOS ASOCIAD.SAN BORJA S.A.C"/>
    <x v="0"/>
    <s v="COMPUTO"/>
    <x v="0"/>
    <n v="1402"/>
    <n v="252.3599999999999"/>
    <n v="1654.36"/>
  </r>
  <r>
    <x v="214"/>
    <s v="001-10428"/>
    <n v="20112999621"/>
    <s v="SOC. NAC. DE MINERIA PETROLEO Y ENERGIA"/>
    <x v="3"/>
    <s v="BLANCA"/>
    <x v="4"/>
    <n v="1692"/>
    <n v="304.55999999999995"/>
    <n v="1996.56"/>
  </r>
  <r>
    <x v="215"/>
    <s v="001-10429"/>
    <n v="20330011930"/>
    <s v="CISCO SYSTEMS PERU S.A"/>
    <x v="3"/>
    <s v="BLANCA"/>
    <x v="0"/>
    <n v="1773"/>
    <n v="319.13999999999987"/>
    <n v="2092.14"/>
  </r>
  <r>
    <x v="216"/>
    <s v="001-10430"/>
    <n v="20100134455"/>
    <s v="INSTITUTO SUPERIOR SAN IGNACIO DE LOYOLA"/>
    <x v="3"/>
    <s v="BLANCA"/>
    <x v="3"/>
    <n v="405.75"/>
    <n v="73.034999999999968"/>
    <n v="478.78499999999997"/>
  </r>
  <r>
    <x v="217"/>
    <s v="001-10431"/>
    <n v="20100073723"/>
    <s v="CORPORACION PERUANA DE PRODUCTOS QUIMICO"/>
    <x v="3"/>
    <s v="BLANCA"/>
    <x v="4"/>
    <n v="1485.8"/>
    <n v="267.44399999999996"/>
    <n v="1753.2439999999999"/>
  </r>
  <r>
    <x v="218"/>
    <s v="001-10432"/>
    <n v="20100012856"/>
    <s v="COMPAÑIA GOODYEAR DEL PERU S.A."/>
    <x v="0"/>
    <s v="COMPUTO"/>
    <x v="0"/>
    <n v="273.60000000000002"/>
    <n v="49.24799999999999"/>
    <n v="322.84800000000001"/>
  </r>
  <r>
    <x v="219"/>
    <s v="001-10433"/>
    <n v="20101908781"/>
    <s v="EMPRESA DE ASESORIA Y SERVICIOS S A"/>
    <x v="3"/>
    <s v="BLANCA"/>
    <x v="4"/>
    <n v="810"/>
    <n v="145.79999999999995"/>
    <n v="955.8"/>
  </r>
  <r>
    <x v="220"/>
    <s v="001-10434"/>
    <n v="20108572958"/>
    <s v="SOCIEDAD IMPORTADORA S.A."/>
    <x v="0"/>
    <s v="COMPUTO"/>
    <x v="0"/>
    <n v="1332"/>
    <n v="239.76"/>
    <n v="1571.76"/>
  </r>
  <r>
    <x v="221"/>
    <s v="001-10435"/>
    <n v="20108056941"/>
    <s v="SOCIEDAD ADUANERA DEL CALLAO S.A."/>
    <x v="1"/>
    <s v="BLANCA"/>
    <x v="4"/>
    <n v="305"/>
    <n v="54.899999999999977"/>
    <n v="359.9"/>
  </r>
  <r>
    <x v="222"/>
    <s v="001-10436"/>
    <n v="20102154046"/>
    <s v="INDUSTRIAS ALIMENTARIAS S R LTDA"/>
    <x v="3"/>
    <s v="BLANCA"/>
    <x v="4"/>
    <n v="3740"/>
    <n v="673.19999999999982"/>
    <n v="4413.2"/>
  </r>
  <r>
    <x v="223"/>
    <s v="001-10437"/>
    <n v="20297687655"/>
    <s v="COBRECON S.A."/>
    <x v="1"/>
    <s v="COMPUTO"/>
    <x v="0"/>
    <n v="858"/>
    <n v="154.43999999999994"/>
    <n v="1012.4399999999999"/>
  </r>
  <r>
    <x v="224"/>
    <s v="001-10438"/>
    <n v="20100067596"/>
    <s v="FABRICA DE CUBIERTOS SAC"/>
    <x v="3"/>
    <s v="BLANCA"/>
    <x v="2"/>
    <n v="5218"/>
    <n v="939.23999999999978"/>
    <n v="6157.24"/>
  </r>
  <r>
    <x v="225"/>
    <s v="001-10437"/>
    <n v="20297687655"/>
    <s v="COBRECON S.A."/>
    <x v="1"/>
    <s v="COMPUTO"/>
    <x v="0"/>
    <n v="858"/>
    <n v="154.43999999999994"/>
    <n v="1012.4399999999999"/>
  </r>
  <r>
    <x v="226"/>
    <s v="001-10438"/>
    <n v="20100067596"/>
    <s v="FABRICA DE CUBIERTOS SAC"/>
    <x v="3"/>
    <s v="BLANCA"/>
    <x v="2"/>
    <n v="5218"/>
    <n v="939.23999999999978"/>
    <n v="6157.24"/>
  </r>
  <r>
    <x v="227"/>
    <s v="001-10432"/>
    <n v="20100012856"/>
    <s v="COMPAÑIA GOODYEAR DEL PERU S.A."/>
    <x v="0"/>
    <s v="COMPUTO"/>
    <x v="0"/>
    <n v="273.60000000000002"/>
    <n v="49.24799999999999"/>
    <n v="322.84800000000001"/>
  </r>
  <r>
    <x v="228"/>
    <s v="001-10433"/>
    <n v="20101908781"/>
    <s v="EMPRESA DE ASESORIA Y SERVICIOS S A"/>
    <x v="3"/>
    <s v="BLANCA"/>
    <x v="4"/>
    <n v="810"/>
    <n v="145.79999999999995"/>
    <n v="955.8"/>
  </r>
  <r>
    <x v="229"/>
    <s v="001-10434"/>
    <n v="20108572958"/>
    <s v="SOCIEDAD IMPORTADORA S.A."/>
    <x v="0"/>
    <s v="COMPUTO"/>
    <x v="0"/>
    <n v="1332"/>
    <n v="239.76"/>
    <n v="1571.76"/>
  </r>
  <r>
    <x v="230"/>
    <s v="001-10435"/>
    <n v="20108056941"/>
    <s v="SOCIEDAD ADUANERA DEL CALLAO S.A."/>
    <x v="1"/>
    <s v="BLANCA"/>
    <x v="4"/>
    <n v="305"/>
    <n v="54.899999999999977"/>
    <n v="359.9"/>
  </r>
  <r>
    <x v="231"/>
    <s v="001-10436"/>
    <n v="20102154046"/>
    <s v="INDUSTRIAS ALIMENTARIAS S R LTDA"/>
    <x v="3"/>
    <s v="BLANCA"/>
    <x v="4"/>
    <n v="3740"/>
    <n v="673.19999999999982"/>
    <n v="4413.2"/>
  </r>
  <r>
    <x v="232"/>
    <s v="001-10437"/>
    <n v="20297687655"/>
    <s v="COBRECON S.A."/>
    <x v="1"/>
    <s v="COMPUTO"/>
    <x v="0"/>
    <n v="858"/>
    <n v="154.43999999999994"/>
    <n v="1012.4399999999999"/>
  </r>
  <r>
    <x v="233"/>
    <s v="001-10438"/>
    <n v="20100067596"/>
    <s v="FABRICA DE CUBIERTOS SAC"/>
    <x v="3"/>
    <s v="BLANCA"/>
    <x v="2"/>
    <n v="5218"/>
    <n v="939.23999999999978"/>
    <n v="6157.24"/>
  </r>
  <r>
    <x v="234"/>
    <s v="001-10424"/>
    <n v="20102154046"/>
    <s v="INDUSTRIAS ALIMENTARIAS S R LTDA"/>
    <x v="4"/>
    <s v="COMPUTO"/>
    <x v="0"/>
    <n v="933.5"/>
    <n v="168.02999999999997"/>
    <n v="1101.53"/>
  </r>
  <r>
    <x v="235"/>
    <s v="001-10425"/>
    <n v="20100118760"/>
    <s v="DINERS CLUB PERU S A"/>
    <x v="4"/>
    <s v="BLANCA"/>
    <x v="3"/>
    <n v="491.5"/>
    <n v="88.469999999999914"/>
    <n v="579.96999999999991"/>
  </r>
  <r>
    <x v="236"/>
    <s v="001-10426"/>
    <n v="20100129028"/>
    <s v="NOVARTIS BIOSCIENCES PERU S.A."/>
    <x v="3"/>
    <s v="COMPUTO"/>
    <x v="3"/>
    <n v="6750"/>
    <n v="1215"/>
    <n v="7965"/>
  </r>
  <r>
    <x v="237"/>
    <s v="001-10427"/>
    <n v="20503493650"/>
    <s v="SERVICIOS MEDICOS ASOCIAD.SAN BORJA S.A.C"/>
    <x v="0"/>
    <s v="COMPUTO"/>
    <x v="0"/>
    <n v="1402"/>
    <n v="252.3599999999999"/>
    <n v="1654.36"/>
  </r>
  <r>
    <x v="238"/>
    <s v="001-10428"/>
    <n v="20112999621"/>
    <s v="SOC. NAC. DE MINERIA PETROLEO Y ENERGIA"/>
    <x v="3"/>
    <s v="BLANCA"/>
    <x v="4"/>
    <n v="1692"/>
    <n v="304.55999999999995"/>
    <n v="1996.56"/>
  </r>
  <r>
    <x v="239"/>
    <s v="001-10429"/>
    <n v="20330011930"/>
    <s v="CISCO SYSTEMS PERU S.A"/>
    <x v="3"/>
    <s v="BLANCA"/>
    <x v="0"/>
    <n v="1773"/>
    <n v="319.13999999999987"/>
    <n v="2092.14"/>
  </r>
  <r>
    <x v="240"/>
    <s v="001-10430"/>
    <n v="20100134455"/>
    <s v="INSTITUTO SUPERIOR SAN IGNACIO DE LOYOLA"/>
    <x v="3"/>
    <s v="BLANCA"/>
    <x v="3"/>
    <n v="405.75"/>
    <n v="73.034999999999968"/>
    <n v="478.78499999999997"/>
  </r>
  <r>
    <x v="241"/>
    <s v="001-10431"/>
    <n v="20100073723"/>
    <s v="CORPORACION PERUANA DE PRODUCTOS QUIMICO"/>
    <x v="3"/>
    <s v="BLANCA"/>
    <x v="4"/>
    <n v="1485.8"/>
    <n v="267.44399999999996"/>
    <n v="1753.2439999999999"/>
  </r>
  <r>
    <x v="242"/>
    <s v="001-10432"/>
    <n v="20100012856"/>
    <s v="COMPAÑIA GOODYEAR DEL PERU S.A."/>
    <x v="0"/>
    <s v="COMPUTO"/>
    <x v="0"/>
    <n v="273.60000000000002"/>
    <n v="49.24799999999999"/>
    <n v="322.84800000000001"/>
  </r>
  <r>
    <x v="243"/>
    <s v="001-10433"/>
    <n v="20101908781"/>
    <s v="EMPRESA DE ASESORIA Y SERVICIOS S A"/>
    <x v="3"/>
    <s v="BLANCA"/>
    <x v="4"/>
    <n v="810"/>
    <n v="145.79999999999995"/>
    <n v="955.8"/>
  </r>
  <r>
    <x v="244"/>
    <s v="001-10434"/>
    <n v="20108572958"/>
    <s v="SOCIEDAD IMPORTADORA S.A."/>
    <x v="0"/>
    <s v="COMPUTO"/>
    <x v="0"/>
    <n v="1332"/>
    <n v="239.76"/>
    <n v="1571.76"/>
  </r>
  <r>
    <x v="245"/>
    <s v="001-10435"/>
    <n v="20108056941"/>
    <s v="SOCIEDAD ADUANERA DEL CALLAO S.A."/>
    <x v="1"/>
    <s v="BLANCA"/>
    <x v="4"/>
    <n v="305"/>
    <n v="54.899999999999977"/>
    <n v="359.9"/>
  </r>
  <r>
    <x v="246"/>
    <s v="001-10436"/>
    <n v="20102154046"/>
    <s v="INDUSTRIAS ALIMENTARIAS S R LTDA"/>
    <x v="3"/>
    <s v="BLANCA"/>
    <x v="4"/>
    <n v="3740"/>
    <n v="673.19999999999982"/>
    <n v="4413.2"/>
  </r>
  <r>
    <x v="247"/>
    <s v="001-10437"/>
    <n v="20297687655"/>
    <s v="COBRECON S.A."/>
    <x v="1"/>
    <s v="COMPUTO"/>
    <x v="0"/>
    <n v="858"/>
    <n v="154.43999999999994"/>
    <n v="1012.4399999999999"/>
  </r>
  <r>
    <x v="248"/>
    <s v="001-10438"/>
    <n v="20100067596"/>
    <s v="FABRICA DE CUBIERTOS SAC"/>
    <x v="3"/>
    <s v="BLANCA"/>
    <x v="2"/>
    <n v="5218"/>
    <n v="939.23999999999978"/>
    <n v="6157.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s v="001-10251"/>
    <n v="20160641810"/>
    <s v="LABORATORIOS BAGO DEL PERU S.A."/>
    <x v="0"/>
    <x v="0"/>
    <x v="0"/>
    <n v="7551"/>
    <n v="1359.1800000000003"/>
    <n v="8910.18"/>
  </r>
  <r>
    <x v="1"/>
    <s v="001-10252"/>
    <n v="20390473142"/>
    <s v="DUKE ENERGY INTERNATIONAL PERU INVESTMEN"/>
    <x v="1"/>
    <x v="0"/>
    <x v="1"/>
    <n v="5000"/>
    <n v="900"/>
    <n v="5900"/>
  </r>
  <r>
    <x v="2"/>
    <s v="001-10253"/>
    <n v="20100128994"/>
    <s v="AGA S A"/>
    <x v="2"/>
    <x v="0"/>
    <x v="2"/>
    <n v="1119.9000000000001"/>
    <n v="201.58199999999988"/>
    <n v="1321.482"/>
  </r>
  <r>
    <x v="3"/>
    <s v="001-10254"/>
    <n v="20100562848"/>
    <s v="COMPANIA UNIVERSAL TEXTIL S.A."/>
    <x v="3"/>
    <x v="0"/>
    <x v="1"/>
    <n v="96913"/>
    <n v="17444.339999999997"/>
    <n v="114357.34"/>
  </r>
  <r>
    <x v="4"/>
    <s v="001-10255"/>
    <n v="20377444257"/>
    <s v="NEGOCIACIONES JFK S.A.C."/>
    <x v="1"/>
    <x v="0"/>
    <x v="3"/>
    <n v="1176"/>
    <n v="211.67999999999984"/>
    <n v="1387.6799999999998"/>
  </r>
  <r>
    <x v="5"/>
    <s v="001-10256"/>
    <n v="20266352337"/>
    <s v="PRODUCTOS TISSUE DEL PERU S.A. O PROTISA"/>
    <x v="0"/>
    <x v="1"/>
    <x v="1"/>
    <n v="1101.2"/>
    <n v="198.21599999999989"/>
    <n v="1299.4159999999999"/>
  </r>
  <r>
    <x v="6"/>
    <s v="001-10257"/>
    <n v="20258886420"/>
    <s v="ROSEN PERU S.A."/>
    <x v="4"/>
    <x v="1"/>
    <x v="1"/>
    <n v="5023"/>
    <n v="904.13999999999942"/>
    <n v="5927.1399999999994"/>
  </r>
  <r>
    <x v="7"/>
    <s v="001-10258"/>
    <n v="20100051240"/>
    <s v="FCA PERUANA ETERNIT S A"/>
    <x v="1"/>
    <x v="0"/>
    <x v="3"/>
    <n v="613.20000000000005"/>
    <n v="110.37599999999998"/>
    <n v="723.57600000000002"/>
  </r>
  <r>
    <x v="8"/>
    <s v="001-10259"/>
    <n v="20418141281"/>
    <s v="CIPA S.A."/>
    <x v="3"/>
    <x v="0"/>
    <x v="1"/>
    <n v="2169"/>
    <n v="390.42000000000007"/>
    <n v="2559.42"/>
  </r>
  <r>
    <x v="9"/>
    <s v="001-10260"/>
    <n v="20122263143"/>
    <s v="FULL FISH SAC"/>
    <x v="1"/>
    <x v="0"/>
    <x v="1"/>
    <n v="2500.9"/>
    <n v="450.16199999999981"/>
    <n v="2951.0619999999999"/>
  </r>
  <r>
    <x v="10"/>
    <s v="001-10261"/>
    <n v="20101362702"/>
    <s v="CONFECCIONES TEXTIMAX S A"/>
    <x v="3"/>
    <x v="1"/>
    <x v="1"/>
    <n v="500"/>
    <n v="90"/>
    <n v="590"/>
  </r>
  <r>
    <x v="11"/>
    <s v="001-10262"/>
    <n v="20330011930"/>
    <s v="CISCO SYSTEMS PERU S.A"/>
    <x v="3"/>
    <x v="1"/>
    <x v="1"/>
    <n v="268.8"/>
    <n v="48.383999999999958"/>
    <n v="317.18399999999997"/>
  </r>
  <r>
    <x v="12"/>
    <s v="001-10263"/>
    <n v="20100134455"/>
    <s v="INSTITUTO SUPERIOR SAN IGNACIO DE LOYOLA"/>
    <x v="3"/>
    <x v="0"/>
    <x v="3"/>
    <n v="1614.8"/>
    <n v="290.66399999999999"/>
    <n v="1905.4639999999999"/>
  </r>
  <r>
    <x v="13"/>
    <s v="001-10264"/>
    <n v="20100073723"/>
    <s v="CORPORACION PERUANA DE PRODUCTOS QUIMICO"/>
    <x v="3"/>
    <x v="1"/>
    <x v="3"/>
    <n v="1810"/>
    <n v="325.79999999999973"/>
    <n v="2135.7999999999997"/>
  </r>
  <r>
    <x v="14"/>
    <s v="001-10265"/>
    <n v="20305354563"/>
    <s v="BOTICAS FASA SA"/>
    <x v="1"/>
    <x v="0"/>
    <x v="0"/>
    <n v="88.5"/>
    <n v="15.929999999999993"/>
    <n v="104.42999999999999"/>
  </r>
  <r>
    <x v="15"/>
    <s v="001-10266"/>
    <n v="20101908781"/>
    <s v="EMPRESA DE ASESORIA Y SERVICIOS S A"/>
    <x v="1"/>
    <x v="1"/>
    <x v="1"/>
    <n v="2436.1799999999998"/>
    <n v="438.51239999999962"/>
    <n v="2874.6923999999995"/>
  </r>
  <r>
    <x v="16"/>
    <s v="001-10267"/>
    <n v="20102154046"/>
    <s v="INDUSTRIAS ALIMENTARIAS S R LTDA"/>
    <x v="3"/>
    <x v="0"/>
    <x v="1"/>
    <n v="5398.73"/>
    <n v="971.77139999999963"/>
    <n v="6370.5013999999992"/>
  </r>
  <r>
    <x v="17"/>
    <s v="001-10268"/>
    <n v="20297687655"/>
    <s v="COBRECON S.A."/>
    <x v="0"/>
    <x v="1"/>
    <x v="0"/>
    <n v="136.30000000000001"/>
    <n v="24.533999999999992"/>
    <n v="160.834"/>
  </r>
  <r>
    <x v="18"/>
    <s v="001-10269"/>
    <n v="20100067596"/>
    <s v="FABRICA DE CUBIERTOS SAC"/>
    <x v="1"/>
    <x v="0"/>
    <x v="0"/>
    <n v="1549.6"/>
    <n v="278.92799999999988"/>
    <n v="1828.5279999999998"/>
  </r>
  <r>
    <x v="19"/>
    <s v="001-10270"/>
    <n v="20101067379"/>
    <s v="INVERSIONES MIDAS S A"/>
    <x v="3"/>
    <x v="1"/>
    <x v="1"/>
    <n v="950"/>
    <n v="171"/>
    <n v="1121"/>
  </r>
  <r>
    <x v="20"/>
    <s v="001-10271"/>
    <n v="20100136661"/>
    <s v="INVERSIONES SAN BORJA S A"/>
    <x v="1"/>
    <x v="1"/>
    <x v="0"/>
    <n v="403.2"/>
    <n v="72.575999999999965"/>
    <n v="475.77599999999995"/>
  </r>
  <r>
    <x v="21"/>
    <s v="001-10272"/>
    <n v="20263674929"/>
    <s v="FIRTH INDUSTRIES PERU S.A."/>
    <x v="3"/>
    <x v="0"/>
    <x v="3"/>
    <n v="1689.78"/>
    <n v="304.16039999999998"/>
    <n v="1993.9404"/>
  </r>
  <r>
    <x v="22"/>
    <s v="001-10273"/>
    <n v="20341966133"/>
    <s v="SUPERFARMA S.A.C."/>
    <x v="3"/>
    <x v="1"/>
    <x v="1"/>
    <n v="103.2"/>
    <n v="18.575999999999993"/>
    <n v="121.776"/>
  </r>
  <r>
    <x v="23"/>
    <s v="001-10274"/>
    <n v="20101161634"/>
    <s v="DIAR INGENIEROS S A"/>
    <x v="4"/>
    <x v="0"/>
    <x v="4"/>
    <n v="899"/>
    <n v="161.81999999999994"/>
    <n v="1060.82"/>
  </r>
  <r>
    <x v="24"/>
    <s v="001-10275"/>
    <n v="20389244431"/>
    <s v="AMERICAN PACIFIC TRADER DEL PERU S.A."/>
    <x v="1"/>
    <x v="1"/>
    <x v="0"/>
    <n v="2222.4"/>
    <n v="400.0319999999997"/>
    <n v="2622.4319999999998"/>
  </r>
  <r>
    <x v="25"/>
    <s v="001-10276"/>
    <n v="20100037689"/>
    <s v="CIA MINERA AGREGADOS CALCAREOS S A"/>
    <x v="3"/>
    <x v="1"/>
    <x v="1"/>
    <n v="287.88"/>
    <n v="51.818399999999997"/>
    <n v="339.69839999999999"/>
  </r>
  <r>
    <x v="26"/>
    <s v="001-10277"/>
    <n v="20262561781"/>
    <s v="METROCOLOR S.A."/>
    <x v="3"/>
    <x v="0"/>
    <x v="0"/>
    <n v="86.4"/>
    <n v="15.551999999999992"/>
    <n v="101.952"/>
  </r>
  <r>
    <x v="27"/>
    <s v="001-10278"/>
    <n v="20100119227"/>
    <s v="3M PERU S A"/>
    <x v="3"/>
    <x v="0"/>
    <x v="4"/>
    <n v="2713.5"/>
    <n v="488.42999999999984"/>
    <n v="3201.93"/>
  </r>
  <r>
    <x v="28"/>
    <s v="001-10279"/>
    <n v="20100020441"/>
    <s v="DETROIT DIESEL - MTU PERU S.A.C."/>
    <x v="3"/>
    <x v="0"/>
    <x v="4"/>
    <n v="1622.4"/>
    <n v="292.03199999999993"/>
    <n v="1914.432"/>
  </r>
  <r>
    <x v="29"/>
    <s v="001-10280"/>
    <n v="20101313833"/>
    <s v="GASOLINERAS S.A.C."/>
    <x v="1"/>
    <x v="0"/>
    <x v="0"/>
    <n v="802"/>
    <n v="144.3599999999999"/>
    <n v="946.3599999999999"/>
  </r>
  <r>
    <x v="30"/>
    <s v="001-10281"/>
    <n v="20100044626"/>
    <s v="DEPOSITOS S A DEPSA"/>
    <x v="1"/>
    <x v="1"/>
    <x v="0"/>
    <n v="966.8"/>
    <n v="174.02399999999989"/>
    <n v="1140.8239999999998"/>
  </r>
  <r>
    <x v="31"/>
    <s v="001-10282"/>
    <n v="20100277051"/>
    <s v="CONSTRUCTORES S A"/>
    <x v="3"/>
    <x v="1"/>
    <x v="3"/>
    <n v="224.83"/>
    <n v="40.469399999999979"/>
    <n v="265.29939999999999"/>
  </r>
  <r>
    <x v="32"/>
    <s v="001-10283"/>
    <n v="20100051916"/>
    <s v="SULFATO DE COBRE S A"/>
    <x v="3"/>
    <x v="1"/>
    <x v="3"/>
    <n v="49.8"/>
    <n v="8.9639999999999986"/>
    <n v="58.763999999999996"/>
  </r>
  <r>
    <x v="33"/>
    <s v="001-10284"/>
    <n v="20112999621"/>
    <s v="SOC. NAC. DE MINERIA PETROLEO Y ENERGIA"/>
    <x v="3"/>
    <x v="0"/>
    <x v="0"/>
    <n v="321.12"/>
    <n v="57.801600000000008"/>
    <n v="378.92160000000001"/>
  </r>
  <r>
    <x v="34"/>
    <s v="001-10285"/>
    <n v="20147895705"/>
    <s v="SISTEMAS &amp; SERVICIOS S.A.C."/>
    <x v="3"/>
    <x v="0"/>
    <x v="4"/>
    <n v="631.6"/>
    <n v="113.68799999999999"/>
    <n v="745.28800000000001"/>
  </r>
  <r>
    <x v="35"/>
    <s v="001-10286"/>
    <n v="20257364608"/>
    <s v="BOART LONGYEAR SAC"/>
    <x v="1"/>
    <x v="1"/>
    <x v="0"/>
    <n v="1994.52"/>
    <n v="359.01359999999977"/>
    <n v="2353.5335999999998"/>
  </r>
  <r>
    <x v="36"/>
    <s v="001-10287"/>
    <n v="20160641810"/>
    <s v="LABORATORIOS BAGO DEL PERU S.A."/>
    <x v="3"/>
    <x v="1"/>
    <x v="0"/>
    <n v="1792"/>
    <n v="322.55999999999995"/>
    <n v="2114.56"/>
  </r>
  <r>
    <x v="37"/>
    <s v="001-10288"/>
    <n v="20390473142"/>
    <s v="DUKE ENERGY INTERNATIONAL PERU INVESTMEN"/>
    <x v="1"/>
    <x v="1"/>
    <x v="0"/>
    <n v="1031.7"/>
    <n v="185.7059999999999"/>
    <n v="1217.4059999999999"/>
  </r>
  <r>
    <x v="38"/>
    <s v="001-10289"/>
    <n v="20100562848"/>
    <s v="COMPANIA UNIVERSAL TEXTIL S.A."/>
    <x v="1"/>
    <x v="1"/>
    <x v="0"/>
    <n v="1838.2"/>
    <n v="330.87599999999998"/>
    <n v="2169.076"/>
  </r>
  <r>
    <x v="39"/>
    <s v="001-10290"/>
    <n v="20101433499"/>
    <s v="GEMINIS ADUANAS S.A."/>
    <x v="3"/>
    <x v="0"/>
    <x v="4"/>
    <n v="176.1"/>
    <n v="31.697999999999979"/>
    <n v="207.79799999999997"/>
  </r>
  <r>
    <x v="40"/>
    <s v="001-10291"/>
    <n v="20100498902"/>
    <s v="TECNICENTRO CUZCO S.A.C."/>
    <x v="3"/>
    <x v="1"/>
    <x v="3"/>
    <n v="156"/>
    <n v="28.079999999999984"/>
    <n v="184.07999999999998"/>
  </r>
  <r>
    <x v="41"/>
    <s v="001-10292"/>
    <n v="20258886420"/>
    <s v="ROSEN PERU S.A."/>
    <x v="1"/>
    <x v="0"/>
    <x v="3"/>
    <n v="1328"/>
    <n v="239.03999999999996"/>
    <n v="1567.04"/>
  </r>
  <r>
    <x v="42"/>
    <s v="001-10293"/>
    <n v="20100051240"/>
    <s v="FCA PERUANA ETERNIT S A"/>
    <x v="0"/>
    <x v="0"/>
    <x v="4"/>
    <n v="180.48"/>
    <n v="32.486399999999975"/>
    <n v="212.96639999999996"/>
  </r>
  <r>
    <x v="43"/>
    <s v="001-10294"/>
    <n v="20503493650"/>
    <s v="SERVICIOS MEDICOS ASOCIAD.SAN BORJA S.A.C"/>
    <x v="1"/>
    <x v="0"/>
    <x v="0"/>
    <n v="386.2"/>
    <n v="69.515999999999963"/>
    <n v="455.71599999999995"/>
  </r>
  <r>
    <x v="44"/>
    <s v="001-10295"/>
    <n v="20301708816"/>
    <s v="CINES EL POLO S.A"/>
    <x v="3"/>
    <x v="0"/>
    <x v="4"/>
    <n v="1512"/>
    <n v="272.15999999999985"/>
    <n v="1784.1599999999999"/>
  </r>
  <r>
    <x v="45"/>
    <s v="001-10296"/>
    <n v="20100136661"/>
    <s v="INVERSIONES SAN BORJA S A"/>
    <x v="0"/>
    <x v="0"/>
    <x v="4"/>
    <n v="259.51"/>
    <n v="46.711799999999982"/>
    <n v="306.22179999999997"/>
  </r>
  <r>
    <x v="46"/>
    <s v="001-10297"/>
    <n v="20100177341"/>
    <s v="PRODUCTOS ROCHE Q F S A"/>
    <x v="1"/>
    <x v="1"/>
    <x v="0"/>
    <n v="851.2"/>
    <n v="153.21600000000001"/>
    <n v="1004.4160000000001"/>
  </r>
  <r>
    <x v="47"/>
    <s v="001-10298"/>
    <n v="20307791936"/>
    <s v="FIDELITY INTERNATIONAL RESOURCE MANAGEME"/>
    <x v="0"/>
    <x v="0"/>
    <x v="4"/>
    <n v="575"/>
    <n v="103.5"/>
    <n v="678.5"/>
  </r>
  <r>
    <x v="48"/>
    <s v="001-10299"/>
    <n v="20100061636"/>
    <s v="BOINAS AZULES S A"/>
    <x v="3"/>
    <x v="1"/>
    <x v="0"/>
    <n v="8623.4500000000007"/>
    <n v="1552.2209999999995"/>
    <n v="10175.671"/>
  </r>
  <r>
    <x v="49"/>
    <s v="001-10300"/>
    <n v="20112999621"/>
    <s v="SOC. NAC. DE MINERIA PETROLEO Y ENERGIA"/>
    <x v="1"/>
    <x v="0"/>
    <x v="4"/>
    <n v="225.5"/>
    <n v="40.589999999999975"/>
    <n v="266.08999999999997"/>
  </r>
  <r>
    <x v="50"/>
    <s v="001-10301"/>
    <n v="20100128994"/>
    <s v="AGA S A"/>
    <x v="3"/>
    <x v="0"/>
    <x v="4"/>
    <n v="2222.1999999999998"/>
    <n v="399.99599999999964"/>
    <n v="2622.1959999999995"/>
  </r>
  <r>
    <x v="51"/>
    <s v="001-10302"/>
    <n v="20390473142"/>
    <s v="DUKE ENERGY INTERNATIONAL PERU INVESTMEN"/>
    <x v="0"/>
    <x v="0"/>
    <x v="3"/>
    <n v="880.5"/>
    <n v="158.49"/>
    <n v="1038.99"/>
  </r>
  <r>
    <x v="52"/>
    <s v="001-10303"/>
    <n v="20213053915"/>
    <s v="RIO TINTO MINING AND EXPLO LIM SUC PER"/>
    <x v="3"/>
    <x v="0"/>
    <x v="4"/>
    <n v="1072.43"/>
    <n v="193.03739999999993"/>
    <n v="1265.4674"/>
  </r>
  <r>
    <x v="53"/>
    <s v="001-10304"/>
    <n v="20101433499"/>
    <s v="GEMINIS ADUANAS S.A."/>
    <x v="3"/>
    <x v="1"/>
    <x v="3"/>
    <n v="2844.5"/>
    <n v="512.00999999999976"/>
    <n v="3356.5099999999998"/>
  </r>
  <r>
    <x v="54"/>
    <s v="001-10305"/>
    <n v="20100498902"/>
    <s v="TECNICENTRO CUZCO S.A.C."/>
    <x v="1"/>
    <x v="0"/>
    <x v="4"/>
    <n v="1761"/>
    <n v="316.98"/>
    <n v="2077.98"/>
  </r>
  <r>
    <x v="55"/>
    <s v="001-10306"/>
    <n v="20377444257"/>
    <s v="NEGOCIACIONES JFK S.A.C."/>
    <x v="0"/>
    <x v="1"/>
    <x v="0"/>
    <n v="155"/>
    <n v="27.899999999999977"/>
    <n v="182.89999999999998"/>
  </r>
  <r>
    <x v="56"/>
    <s v="001-10307"/>
    <n v="20267223735"/>
    <s v="LIGHT S.A.C"/>
    <x v="3"/>
    <x v="0"/>
    <x v="4"/>
    <n v="550.59"/>
    <n v="99.106199999999944"/>
    <n v="649.69619999999998"/>
  </r>
  <r>
    <x v="57"/>
    <s v="001-10308"/>
    <n v="20266352337"/>
    <s v="PRODUCTOS TISSUE DEL PERU S.A. O PROTISA"/>
    <x v="1"/>
    <x v="0"/>
    <x v="0"/>
    <n v="1501.09"/>
    <n v="270.19619999999986"/>
    <n v="1771.2861999999998"/>
  </r>
  <r>
    <x v="58"/>
    <s v="001-10309"/>
    <n v="20100067758"/>
    <s v="LEE FILTER DEL PERU S A"/>
    <x v="3"/>
    <x v="0"/>
    <x v="0"/>
    <n v="310"/>
    <n v="55.799999999999955"/>
    <n v="365.79999999999995"/>
  </r>
  <r>
    <x v="59"/>
    <s v="001-10310"/>
    <n v="20418141281"/>
    <s v="CIPA S.A."/>
    <x v="1"/>
    <x v="0"/>
    <x v="0"/>
    <n v="330"/>
    <n v="59.399999999999977"/>
    <n v="389.4"/>
  </r>
  <r>
    <x v="60"/>
    <s v="001-10311"/>
    <n v="20266352337"/>
    <s v="PRODUCTOS TISSUE DEL PERU S.A. O PROTISA"/>
    <x v="0"/>
    <x v="0"/>
    <x v="4"/>
    <n v="72"/>
    <n v="12.959999999999994"/>
    <n v="84.96"/>
  </r>
  <r>
    <x v="61"/>
    <s v="001-10312"/>
    <n v="20258886420"/>
    <s v="ROSEN PERU S.A."/>
    <x v="3"/>
    <x v="1"/>
    <x v="3"/>
    <n v="4725"/>
    <n v="850.5"/>
    <n v="5575.5"/>
  </r>
  <r>
    <x v="62"/>
    <s v="001-10313"/>
    <n v="20101362702"/>
    <s v="CONFECCIONES TEXTIMAX S A"/>
    <x v="2"/>
    <x v="0"/>
    <x v="2"/>
    <n v="353.2"/>
    <n v="63.575999999999965"/>
    <n v="416.77599999999995"/>
  </r>
  <r>
    <x v="63"/>
    <s v="001-10314"/>
    <n v="20100261058"/>
    <s v="INMOBILIARIA ELENA S.A.C."/>
    <x v="1"/>
    <x v="0"/>
    <x v="4"/>
    <n v="464"/>
    <n v="83.519999999999982"/>
    <n v="547.52"/>
  </r>
  <r>
    <x v="64"/>
    <s v="001-10315"/>
    <n v="20100134455"/>
    <s v="INSTITUTO SUPERIOR SAN IGNACIO DE LOYOLA"/>
    <x v="3"/>
    <x v="0"/>
    <x v="4"/>
    <n v="1336.95"/>
    <n v="240.65099999999984"/>
    <n v="1577.6009999999999"/>
  </r>
  <r>
    <x v="65"/>
    <s v="001-10316"/>
    <n v="20414407677"/>
    <s v="PERU TRAVEL BUREAU S.A"/>
    <x v="4"/>
    <x v="1"/>
    <x v="0"/>
    <n v="479.75"/>
    <n v="86.355000000000018"/>
    <n v="566.10500000000002"/>
  </r>
  <r>
    <x v="66"/>
    <s v="001-10317"/>
    <n v="20503493650"/>
    <s v="SERVICIOS MEDICOS ASOCIAD.SAN BORJA S.A.C"/>
    <x v="3"/>
    <x v="0"/>
    <x v="4"/>
    <n v="589"/>
    <n v="106.01999999999998"/>
    <n v="695.02"/>
  </r>
  <r>
    <x v="67"/>
    <s v="001-10318"/>
    <n v="20100136661"/>
    <s v="INVERSIONES SAN BORJA S A"/>
    <x v="2"/>
    <x v="0"/>
    <x v="2"/>
    <n v="2054"/>
    <n v="369.7199999999998"/>
    <n v="2423.7199999999998"/>
  </r>
  <r>
    <x v="68"/>
    <s v="001-10319"/>
    <n v="20307791936"/>
    <s v="FIDELITY INTERNATIONAL RESOURCE MANAGEME"/>
    <x v="3"/>
    <x v="0"/>
    <x v="1"/>
    <n v="1779.2"/>
    <n v="320.25600000000009"/>
    <n v="2099.4560000000001"/>
  </r>
  <r>
    <x v="69"/>
    <s v="001-10320"/>
    <n v="20341966133"/>
    <s v="SUPERFARMA S.A.C."/>
    <x v="3"/>
    <x v="0"/>
    <x v="4"/>
    <n v="397.8"/>
    <n v="71.603999999999985"/>
    <n v="469.404"/>
  </r>
  <r>
    <x v="70"/>
    <s v="001-10321"/>
    <n v="20389244431"/>
    <s v="AMERICAN PACIFIC TRADER DEL PERU S.A."/>
    <x v="4"/>
    <x v="1"/>
    <x v="1"/>
    <n v="601.83000000000004"/>
    <n v="108.32939999999996"/>
    <n v="710.15940000000001"/>
  </r>
  <r>
    <x v="71"/>
    <s v="001-10322"/>
    <n v="20430832957"/>
    <s v="ANGLOGOLD EXPLORACION PERU S.A.C."/>
    <x v="1"/>
    <x v="0"/>
    <x v="3"/>
    <n v="1930.4"/>
    <n v="347.47199999999975"/>
    <n v="2277.8719999999998"/>
  </r>
  <r>
    <x v="72"/>
    <s v="001-10323"/>
    <n v="20100116121"/>
    <s v="LUFTHANSA LINEAS AEREAS ALEMANAS"/>
    <x v="3"/>
    <x v="1"/>
    <x v="1"/>
    <n v="1423"/>
    <n v="256.13999999999987"/>
    <n v="1679.1399999999999"/>
  </r>
  <r>
    <x v="73"/>
    <s v="001-10324"/>
    <n v="20101313833"/>
    <s v="GASOLINERAS S.A.C."/>
    <x v="1"/>
    <x v="0"/>
    <x v="4"/>
    <n v="660"/>
    <n v="118.79999999999995"/>
    <n v="778.8"/>
  </r>
  <r>
    <x v="74"/>
    <s v="001-10325"/>
    <n v="20100044626"/>
    <s v="DEPOSITOS S A DEPSA"/>
    <x v="0"/>
    <x v="1"/>
    <x v="0"/>
    <n v="1287.4000000000001"/>
    <n v="231.73199999999997"/>
    <n v="1519.1320000000001"/>
  </r>
  <r>
    <x v="75"/>
    <s v="001-10326"/>
    <n v="20100277051"/>
    <s v="CONSTRUCTORES S A"/>
    <x v="1"/>
    <x v="1"/>
    <x v="0"/>
    <n v="375.5"/>
    <n v="67.589999999999975"/>
    <n v="443.09"/>
  </r>
  <r>
    <x v="76"/>
    <s v="001-10327"/>
    <n v="20100051916"/>
    <s v="SULFATO DE COBRE S A"/>
    <x v="3"/>
    <x v="1"/>
    <x v="3"/>
    <n v="63"/>
    <n v="11.339999999999989"/>
    <n v="74.339999999999989"/>
  </r>
  <r>
    <x v="77"/>
    <s v="001-10328"/>
    <n v="20204441007"/>
    <s v="JOHNSON &amp; JOHNSON DEL PERU S.A"/>
    <x v="1"/>
    <x v="1"/>
    <x v="0"/>
    <n v="1296"/>
    <n v="233.27999999999997"/>
    <n v="1529.28"/>
  </r>
  <r>
    <x v="78"/>
    <s v="001-10329"/>
    <n v="20108572958"/>
    <s v="SOCIEDAD IMPORTADORA S.A."/>
    <x v="1"/>
    <x v="1"/>
    <x v="1"/>
    <n v="484.26"/>
    <n v="87.166799999999967"/>
    <n v="571.42679999999996"/>
  </r>
  <r>
    <x v="79"/>
    <s v="001-10330"/>
    <n v="20143988725"/>
    <s v="INVERSIONES LUXURY SOCIEDAD ANONIMA"/>
    <x v="1"/>
    <x v="0"/>
    <x v="0"/>
    <n v="360"/>
    <n v="64.799999999999955"/>
    <n v="424.79999999999995"/>
  </r>
  <r>
    <x v="80"/>
    <s v="001-10331"/>
    <n v="20297687655"/>
    <s v="COBRECON S.A."/>
    <x v="0"/>
    <x v="0"/>
    <x v="3"/>
    <n v="1498.35"/>
    <n v="269.70299999999997"/>
    <n v="1768.0529999999999"/>
  </r>
  <r>
    <x v="81"/>
    <s v="001-10332"/>
    <n v="20100129028"/>
    <s v="NOVARTIS BIOSCIENCES PERU S.A."/>
    <x v="1"/>
    <x v="0"/>
    <x v="0"/>
    <n v="3118"/>
    <n v="561.23999999999978"/>
    <n v="3679.24"/>
  </r>
  <r>
    <x v="82"/>
    <s v="001-10333"/>
    <n v="20301708816"/>
    <s v="CINES EL POLO S.A"/>
    <x v="3"/>
    <x v="0"/>
    <x v="0"/>
    <n v="88"/>
    <n v="15.839999999999989"/>
    <n v="103.83999999999999"/>
  </r>
  <r>
    <x v="83"/>
    <s v="001-10334"/>
    <n v="20100136661"/>
    <s v="INVERSIONES SAN BORJA S A"/>
    <x v="4"/>
    <x v="1"/>
    <x v="0"/>
    <n v="320"/>
    <n v="57.599999999999966"/>
    <n v="377.59999999999997"/>
  </r>
  <r>
    <x v="84"/>
    <s v="001-10335"/>
    <n v="20100177341"/>
    <s v="PRODUCTOS ROCHE Q F S A"/>
    <x v="3"/>
    <x v="1"/>
    <x v="0"/>
    <n v="4337"/>
    <n v="780.65999999999985"/>
    <n v="5117.66"/>
  </r>
  <r>
    <x v="85"/>
    <s v="001-10336"/>
    <n v="20263674929"/>
    <s v="FIRTH INDUSTRIES PERU S.A."/>
    <x v="3"/>
    <x v="0"/>
    <x v="0"/>
    <n v="616"/>
    <n v="110.88"/>
    <n v="726.88"/>
  </r>
  <r>
    <x v="86"/>
    <s v="001-10337"/>
    <n v="20341966133"/>
    <s v="SUPERFARMA S.A.C."/>
    <x v="4"/>
    <x v="1"/>
    <x v="0"/>
    <n v="1477"/>
    <n v="265.8599999999999"/>
    <n v="1742.86"/>
  </r>
  <r>
    <x v="87"/>
    <s v="001-10338"/>
    <n v="20338735651"/>
    <s v="INVERSIONES REGIO MONTANA S.R.LTDA."/>
    <x v="0"/>
    <x v="0"/>
    <x v="4"/>
    <n v="236.25"/>
    <n v="42.524999999999977"/>
    <n v="278.77499999999998"/>
  </r>
  <r>
    <x v="88"/>
    <s v="001-10339"/>
    <n v="20101161634"/>
    <s v="DIAR INGENIEROS S A"/>
    <x v="3"/>
    <x v="0"/>
    <x v="4"/>
    <n v="344"/>
    <n v="61.919999999999959"/>
    <n v="405.91999999999996"/>
  </r>
  <r>
    <x v="89"/>
    <s v="001-10340"/>
    <n v="20262561781"/>
    <s v="METROCOLOR S.A."/>
    <x v="1"/>
    <x v="0"/>
    <x v="0"/>
    <n v="96.5"/>
    <n v="17.36999999999999"/>
    <n v="113.86999999999999"/>
  </r>
  <r>
    <x v="90"/>
    <s v="001-10341"/>
    <n v="20100082633"/>
    <s v="SKF DEL PERU S A"/>
    <x v="1"/>
    <x v="0"/>
    <x v="3"/>
    <n v="12.5"/>
    <n v="2.25"/>
    <n v="14.75"/>
  </r>
  <r>
    <x v="91"/>
    <s v="001-10342"/>
    <n v="20100136661"/>
    <s v="INVERSIONES SAN BORJA S A"/>
    <x v="4"/>
    <x v="0"/>
    <x v="0"/>
    <n v="191.1"/>
    <n v="34.397999999999996"/>
    <n v="225.49799999999999"/>
  </r>
  <r>
    <x v="92"/>
    <s v="001-10343"/>
    <n v="20100177341"/>
    <s v="PRODUCTOS ROCHE Q F S A"/>
    <x v="3"/>
    <x v="0"/>
    <x v="4"/>
    <n v="2158"/>
    <n v="388.44000000000005"/>
    <n v="2546.44"/>
  </r>
  <r>
    <x v="93"/>
    <s v="001-10344"/>
    <n v="20263674929"/>
    <s v="FIRTH INDUSTRIES PERU S.A."/>
    <x v="2"/>
    <x v="1"/>
    <x v="0"/>
    <n v="2341.36"/>
    <n v="421.44479999999976"/>
    <n v="2762.8047999999999"/>
  </r>
  <r>
    <x v="94"/>
    <s v="001-10345"/>
    <n v="20389244431"/>
    <s v="AMERICAN PACIFIC TRADER DEL PERU S.A."/>
    <x v="1"/>
    <x v="0"/>
    <x v="3"/>
    <n v="477"/>
    <n v="85.860000000000014"/>
    <n v="562.86"/>
  </r>
  <r>
    <x v="95"/>
    <s v="001-10346"/>
    <n v="20100037689"/>
    <s v="CIA MINERA AGREGADOS CALCAREOS S A"/>
    <x v="3"/>
    <x v="0"/>
    <x v="4"/>
    <n v="250.8"/>
    <n v="45.144000000000005"/>
    <n v="295.94400000000002"/>
  </r>
  <r>
    <x v="96"/>
    <s v="001-10347"/>
    <n v="20267223735"/>
    <s v="LIGHT S.A.C"/>
    <x v="1"/>
    <x v="0"/>
    <x v="4"/>
    <n v="625"/>
    <n v="112.5"/>
    <n v="737.5"/>
  </r>
  <r>
    <x v="97"/>
    <s v="001-10348"/>
    <n v="20266352337"/>
    <s v="PRODUCTOS TISSUE DEL PERU S.A. O PROTISA"/>
    <x v="3"/>
    <x v="1"/>
    <x v="0"/>
    <n v="2966.5"/>
    <n v="533.9699999999998"/>
    <n v="3500.47"/>
  </r>
  <r>
    <x v="98"/>
    <s v="001-10349"/>
    <n v="20258886420"/>
    <s v="ROSEN PERU S.A."/>
    <x v="1"/>
    <x v="0"/>
    <x v="0"/>
    <n v="660"/>
    <n v="118.79999999999995"/>
    <n v="778.8"/>
  </r>
  <r>
    <x v="99"/>
    <s v="001-10350"/>
    <n v="20100051240"/>
    <s v="FCA PERUANA ETERNIT S A"/>
    <x v="4"/>
    <x v="0"/>
    <x v="4"/>
    <n v="2048.21"/>
    <n v="368.67779999999993"/>
    <n v="2416.8878"/>
  </r>
  <r>
    <x v="100"/>
    <s v="001-10351"/>
    <n v="20418141281"/>
    <s v="CIPA S.A."/>
    <x v="3"/>
    <x v="0"/>
    <x v="0"/>
    <n v="519"/>
    <n v="93.419999999999959"/>
    <n v="612.41999999999996"/>
  </r>
  <r>
    <x v="101"/>
    <s v="001-10352"/>
    <n v="20122263143"/>
    <s v="FULL FISH SAC"/>
    <x v="2"/>
    <x v="0"/>
    <x v="2"/>
    <n v="441.15"/>
    <n v="79.406999999999925"/>
    <n v="520.5569999999999"/>
  </r>
  <r>
    <x v="102"/>
    <s v="001-10353"/>
    <n v="20100261058"/>
    <s v="INMOBILIARIA ELENA S.A.C."/>
    <x v="4"/>
    <x v="1"/>
    <x v="1"/>
    <n v="1096.2"/>
    <n v="197.31600000000003"/>
    <n v="1293.5160000000001"/>
  </r>
  <r>
    <x v="103"/>
    <s v="001-10354"/>
    <n v="20100136741"/>
    <s v="MINSUR S. A."/>
    <x v="1"/>
    <x v="1"/>
    <x v="1"/>
    <n v="1979.23"/>
    <n v="356.26139999999987"/>
    <n v="2335.4913999999999"/>
  </r>
  <r>
    <x v="104"/>
    <s v="001-10355"/>
    <n v="20330011930"/>
    <s v="CISCO SYSTEMS PERU S.A"/>
    <x v="0"/>
    <x v="0"/>
    <x v="1"/>
    <n v="2058.46"/>
    <n v="370.52279999999973"/>
    <n v="2428.9827999999998"/>
  </r>
  <r>
    <x v="105"/>
    <s v="001-10356"/>
    <n v="20100134455"/>
    <s v="INSTITUTO SUPERIOR SAN IGNACIO DE LOYOLA"/>
    <x v="0"/>
    <x v="0"/>
    <x v="1"/>
    <n v="310"/>
    <n v="55.799999999999955"/>
    <n v="365.79999999999995"/>
  </r>
  <r>
    <x v="106"/>
    <s v="001-10357"/>
    <n v="20100562848"/>
    <s v="COMPANIA UNIVERSAL TEXTIL S.A."/>
    <x v="0"/>
    <x v="0"/>
    <x v="4"/>
    <n v="70"/>
    <n v="12.599999999999994"/>
    <n v="82.6"/>
  </r>
  <r>
    <x v="107"/>
    <s v="001-10358"/>
    <n v="20100498902"/>
    <s v="TECNICENTRO CUZCO S.A.C."/>
    <x v="3"/>
    <x v="1"/>
    <x v="0"/>
    <n v="6379.4"/>
    <n v="1148.2919999999995"/>
    <n v="7527.6919999999991"/>
  </r>
  <r>
    <x v="108"/>
    <s v="001-10359"/>
    <n v="20377444257"/>
    <s v="NEGOCIACIONES JFK S.A.C."/>
    <x v="2"/>
    <x v="0"/>
    <x v="2"/>
    <n v="934.5"/>
    <n v="168.21000000000004"/>
    <n v="1102.71"/>
  </r>
  <r>
    <x v="109"/>
    <s v="001-10360"/>
    <n v="20266352337"/>
    <s v="PRODUCTOS TISSUE DEL PERU S.A. O PROTISA"/>
    <x v="0"/>
    <x v="1"/>
    <x v="0"/>
    <n v="932.05"/>
    <n v="167.76900000000001"/>
    <n v="1099.819"/>
  </r>
  <r>
    <x v="110"/>
    <s v="001-10361"/>
    <n v="20258886420"/>
    <s v="ROSEN PERU S.A."/>
    <x v="0"/>
    <x v="1"/>
    <x v="0"/>
    <n v="858"/>
    <n v="154.43999999999994"/>
    <n v="1012.4399999999999"/>
  </r>
  <r>
    <x v="111"/>
    <s v="001-10362"/>
    <n v="20100051240"/>
    <s v="FCA PERUANA ETERNIT S A"/>
    <x v="1"/>
    <x v="1"/>
    <x v="0"/>
    <n v="1447.5"/>
    <n v="260.54999999999995"/>
    <n v="1708.05"/>
  </r>
  <r>
    <x v="112"/>
    <s v="001-10363"/>
    <n v="20503493650"/>
    <s v="SERVICIOS MEDICOS ASOCIAD.SAN BORJA S.A.C"/>
    <x v="0"/>
    <x v="1"/>
    <x v="1"/>
    <n v="742.5"/>
    <n v="133.64999999999998"/>
    <n v="876.15"/>
  </r>
  <r>
    <x v="113"/>
    <s v="001-10364"/>
    <n v="20301708816"/>
    <s v="CINES EL POLO S.A"/>
    <x v="0"/>
    <x v="1"/>
    <x v="0"/>
    <n v="475.15"/>
    <n v="85.52699999999993"/>
    <n v="560.67699999999991"/>
  </r>
  <r>
    <x v="114"/>
    <s v="001-10365"/>
    <n v="20263674929"/>
    <s v="FIRTH INDUSTRIES PERU S.A."/>
    <x v="1"/>
    <x v="0"/>
    <x v="4"/>
    <n v="1788.63"/>
    <n v="321.95339999999987"/>
    <n v="2110.5834"/>
  </r>
  <r>
    <x v="115"/>
    <s v="001-10366"/>
    <n v="20307791936"/>
    <s v="FIDELITY INTERNATIONAL RESOURCE MANAGEME"/>
    <x v="0"/>
    <x v="1"/>
    <x v="0"/>
    <n v="456"/>
    <n v="82.079999999999927"/>
    <n v="538.07999999999993"/>
  </r>
  <r>
    <x v="116"/>
    <s v="001-10367"/>
    <n v="20338735651"/>
    <s v="INVERSIONES REGIO MONTANA S.R.LTDA."/>
    <x v="1"/>
    <x v="0"/>
    <x v="4"/>
    <n v="360"/>
    <n v="64.799999999999955"/>
    <n v="424.79999999999995"/>
  </r>
  <r>
    <x v="117"/>
    <s v="001-10368"/>
    <n v="20257364608"/>
    <s v="BOART LONGYEAR SAC"/>
    <x v="1"/>
    <x v="0"/>
    <x v="0"/>
    <n v="220"/>
    <n v="39.599999999999966"/>
    <n v="259.59999999999997"/>
  </r>
  <r>
    <x v="118"/>
    <s v="001-10369"/>
    <n v="20160641810"/>
    <s v="LABORATORIOS BAGO DEL PERU S.A."/>
    <x v="0"/>
    <x v="1"/>
    <x v="0"/>
    <n v="2362.25"/>
    <n v="425.20499999999993"/>
    <n v="2787.4549999999999"/>
  </r>
  <r>
    <x v="119"/>
    <s v="001-10370"/>
    <n v="20390473142"/>
    <s v="DUKE ENERGY INTERNATIONAL PERU INVESTMEN"/>
    <x v="1"/>
    <x v="0"/>
    <x v="3"/>
    <n v="4422"/>
    <n v="795.96"/>
    <n v="5217.96"/>
  </r>
  <r>
    <x v="120"/>
    <s v="001-10371"/>
    <n v="20213053915"/>
    <s v="RIO TINTO MINING AND EXPLO LIM SUC PER"/>
    <x v="3"/>
    <x v="0"/>
    <x v="4"/>
    <n v="74.400000000000006"/>
    <n v="13.391999999999996"/>
    <n v="87.792000000000002"/>
  </r>
  <r>
    <x v="121"/>
    <s v="001-10372"/>
    <n v="20100498902"/>
    <s v="TECNICENTRO CUZCO S.A.C."/>
    <x v="0"/>
    <x v="0"/>
    <x v="4"/>
    <n v="1762.7"/>
    <n v="317.28599999999983"/>
    <n v="2079.9859999999999"/>
  </r>
  <r>
    <x v="122"/>
    <s v="001-10373"/>
    <n v="20267223735"/>
    <s v="LIGHT S.A.C"/>
    <x v="2"/>
    <x v="1"/>
    <x v="0"/>
    <n v="265.35000000000002"/>
    <n v="47.762999999999977"/>
    <n v="313.113"/>
  </r>
  <r>
    <x v="123"/>
    <s v="001-10374"/>
    <n v="20266352337"/>
    <s v="PRODUCTOS TISSUE DEL PERU S.A. O PROTISA"/>
    <x v="0"/>
    <x v="0"/>
    <x v="4"/>
    <n v="1586"/>
    <n v="285.47999999999979"/>
    <n v="1871.4799999999998"/>
  </r>
  <r>
    <x v="124"/>
    <s v="001-10375"/>
    <n v="20122263143"/>
    <s v="FULL FISH SAC"/>
    <x v="3"/>
    <x v="0"/>
    <x v="3"/>
    <n v="1733.06"/>
    <n v="311.95079999999984"/>
    <n v="2045.0107999999998"/>
  </r>
  <r>
    <x v="125"/>
    <s v="001-10376"/>
    <n v="20100136741"/>
    <s v="MINSUR S. A."/>
    <x v="3"/>
    <x v="0"/>
    <x v="4"/>
    <n v="2233"/>
    <n v="401.94000000000005"/>
    <n v="2634.94"/>
  </r>
  <r>
    <x v="126"/>
    <s v="001-10377"/>
    <n v="20330011930"/>
    <s v="CISCO SYSTEMS PERU S.A"/>
    <x v="3"/>
    <x v="1"/>
    <x v="4"/>
    <n v="4813.5"/>
    <n v="866.42999999999938"/>
    <n v="5679.9299999999994"/>
  </r>
  <r>
    <x v="127"/>
    <s v="001-10378"/>
    <n v="20100073723"/>
    <s v="CORPORACION PERUANA DE PRODUCTOS QUIMICO"/>
    <x v="1"/>
    <x v="0"/>
    <x v="3"/>
    <n v="1014"/>
    <n v="182.51999999999998"/>
    <n v="1196.52"/>
  </r>
  <r>
    <x v="128"/>
    <s v="001-10379"/>
    <n v="20204441007"/>
    <s v="JOHNSON &amp; JOHNSON DEL PERU S.A"/>
    <x v="3"/>
    <x v="0"/>
    <x v="4"/>
    <n v="2772"/>
    <n v="498.96000000000004"/>
    <n v="3270.96"/>
  </r>
  <r>
    <x v="129"/>
    <s v="001-10380"/>
    <n v="20305354563"/>
    <s v="BOTICAS FASA SA"/>
    <x v="3"/>
    <x v="1"/>
    <x v="3"/>
    <n v="4288.8500000000004"/>
    <n v="771.99299999999948"/>
    <n v="5060.8429999999998"/>
  </r>
  <r>
    <x v="130"/>
    <s v="001-10381"/>
    <n v="20101908781"/>
    <s v="EMPRESA DE ASESORIA Y SERVICIOS S A"/>
    <x v="3"/>
    <x v="1"/>
    <x v="3"/>
    <n v="2769"/>
    <n v="498.41999999999962"/>
    <n v="3267.4199999999996"/>
  </r>
  <r>
    <x v="131"/>
    <s v="001-10382"/>
    <n v="20108572958"/>
    <s v="SOCIEDAD IMPORTADORA S.A."/>
    <x v="0"/>
    <x v="1"/>
    <x v="0"/>
    <n v="329.69"/>
    <n v="59.344200000000001"/>
    <n v="389.0342"/>
  </r>
  <r>
    <x v="132"/>
    <s v="001-10383"/>
    <n v="20143988725"/>
    <s v="INVERSIONES LUXURY SOCIEDAD ANONIMA"/>
    <x v="0"/>
    <x v="0"/>
    <x v="3"/>
    <n v="616.5"/>
    <n v="110.96999999999991"/>
    <n v="727.46999999999991"/>
  </r>
  <r>
    <x v="133"/>
    <s v="001-10384"/>
    <n v="20102154046"/>
    <s v="INDUSTRIAS ALIMENTARIAS S R LTDA"/>
    <x v="4"/>
    <x v="1"/>
    <x v="0"/>
    <n v="933.5"/>
    <n v="168.02999999999997"/>
    <n v="1101.53"/>
  </r>
  <r>
    <x v="134"/>
    <s v="001-10385"/>
    <n v="20100118760"/>
    <s v="DINERS CLUB PERU S A"/>
    <x v="4"/>
    <x v="0"/>
    <x v="3"/>
    <n v="491.5"/>
    <n v="88.469999999999914"/>
    <n v="579.96999999999991"/>
  </r>
  <r>
    <x v="135"/>
    <s v="001-10386"/>
    <n v="20100129028"/>
    <s v="NOVARTIS BIOSCIENCES PERU S.A."/>
    <x v="3"/>
    <x v="1"/>
    <x v="3"/>
    <n v="6750"/>
    <n v="1215"/>
    <n v="7965"/>
  </r>
  <r>
    <x v="136"/>
    <s v="001-10387"/>
    <n v="20503493650"/>
    <s v="SERVICIOS MEDICOS ASOCIAD.SAN BORJA S.A.C"/>
    <x v="0"/>
    <x v="1"/>
    <x v="0"/>
    <n v="1402"/>
    <n v="252.3599999999999"/>
    <n v="1654.36"/>
  </r>
  <r>
    <x v="137"/>
    <s v="001-10388"/>
    <n v="20112999621"/>
    <s v="SOC. NAC. DE MINERIA PETROLEO Y ENERGIA"/>
    <x v="3"/>
    <x v="0"/>
    <x v="4"/>
    <n v="1692"/>
    <n v="304.55999999999995"/>
    <n v="1996.56"/>
  </r>
  <r>
    <x v="138"/>
    <s v="001-10389"/>
    <n v="20330011930"/>
    <s v="CISCO SYSTEMS PERU S.A"/>
    <x v="3"/>
    <x v="0"/>
    <x v="0"/>
    <n v="1773"/>
    <n v="319.13999999999987"/>
    <n v="2092.14"/>
  </r>
  <r>
    <x v="139"/>
    <s v="001-10390"/>
    <n v="20100134455"/>
    <s v="INSTITUTO SUPERIOR SAN IGNACIO DE LOYOLA"/>
    <x v="3"/>
    <x v="0"/>
    <x v="3"/>
    <n v="405.75"/>
    <n v="73.034999999999968"/>
    <n v="478.78499999999997"/>
  </r>
  <r>
    <x v="140"/>
    <s v="001-10391"/>
    <n v="20100073723"/>
    <s v="CORPORACION PERUANA DE PRODUCTOS QUIMICO"/>
    <x v="3"/>
    <x v="0"/>
    <x v="4"/>
    <n v="1485.8"/>
    <n v="267.44399999999996"/>
    <n v="1753.2439999999999"/>
  </r>
  <r>
    <x v="141"/>
    <s v="001-10392"/>
    <n v="20100012856"/>
    <s v="COMPAÑIA GOODYEAR DEL PERU S.A."/>
    <x v="0"/>
    <x v="1"/>
    <x v="0"/>
    <n v="273.60000000000002"/>
    <n v="49.24799999999999"/>
    <n v="322.84800000000001"/>
  </r>
  <r>
    <x v="142"/>
    <s v="001-10393"/>
    <n v="20101908781"/>
    <s v="EMPRESA DE ASESORIA Y SERVICIOS S A"/>
    <x v="3"/>
    <x v="0"/>
    <x v="4"/>
    <n v="810"/>
    <n v="145.79999999999995"/>
    <n v="955.8"/>
  </r>
  <r>
    <x v="143"/>
    <s v="001-10394"/>
    <n v="20108572958"/>
    <s v="SOCIEDAD IMPORTADORA S.A."/>
    <x v="0"/>
    <x v="1"/>
    <x v="0"/>
    <n v="1332"/>
    <n v="239.76"/>
    <n v="1571.76"/>
  </r>
  <r>
    <x v="144"/>
    <s v="001-10395"/>
    <n v="20108056941"/>
    <s v="SOCIEDAD ADUANERA DEL CALLAO S.A."/>
    <x v="1"/>
    <x v="0"/>
    <x v="4"/>
    <n v="305"/>
    <n v="54.899999999999977"/>
    <n v="359.9"/>
  </r>
  <r>
    <x v="145"/>
    <s v="001-10396"/>
    <n v="20102154046"/>
    <s v="INDUSTRIAS ALIMENTARIAS S R LTDA"/>
    <x v="3"/>
    <x v="0"/>
    <x v="4"/>
    <n v="3740"/>
    <n v="673.19999999999982"/>
    <n v="4413.2"/>
  </r>
  <r>
    <x v="146"/>
    <s v="001-10397"/>
    <n v="20297687655"/>
    <s v="COBRECON S.A."/>
    <x v="1"/>
    <x v="1"/>
    <x v="0"/>
    <n v="858"/>
    <n v="154.43999999999994"/>
    <n v="1012.4399999999999"/>
  </r>
  <r>
    <x v="147"/>
    <s v="001-10398"/>
    <n v="20100067596"/>
    <s v="FABRICA DE CUBIERTOS SAC"/>
    <x v="3"/>
    <x v="0"/>
    <x v="2"/>
    <n v="5218"/>
    <n v="939.23999999999978"/>
    <n v="6157.24"/>
  </r>
  <r>
    <x v="148"/>
    <s v="001-10399"/>
    <n v="20377444257"/>
    <s v="NEGOCIACIONES JFK S.A.C."/>
    <x v="2"/>
    <x v="0"/>
    <x v="2"/>
    <n v="934.5"/>
    <n v="168.21000000000004"/>
    <n v="1102.71"/>
  </r>
  <r>
    <x v="149"/>
    <s v="001-10400"/>
    <n v="20266352337"/>
    <s v="PRODUCTOS TISSUE DEL PERU S.A. O PROTISA"/>
    <x v="0"/>
    <x v="1"/>
    <x v="0"/>
    <n v="932.05"/>
    <n v="167.76900000000001"/>
    <n v="1099.819"/>
  </r>
  <r>
    <x v="150"/>
    <s v="001-10401"/>
    <n v="20258886420"/>
    <s v="ROSEN PERU S.A."/>
    <x v="0"/>
    <x v="1"/>
    <x v="0"/>
    <n v="858"/>
    <n v="154.43999999999994"/>
    <n v="1012.4399999999999"/>
  </r>
  <r>
    <x v="151"/>
    <s v="001-10402"/>
    <n v="20100051240"/>
    <s v="FCA PERUANA ETERNIT S A"/>
    <x v="1"/>
    <x v="1"/>
    <x v="0"/>
    <n v="1447.5"/>
    <n v="260.54999999999995"/>
    <n v="1708.05"/>
  </r>
  <r>
    <x v="152"/>
    <s v="001-10403"/>
    <n v="20503493650"/>
    <s v="SERVICIOS MEDICOS ASOCIAD.SAN BORJA S.A.C"/>
    <x v="0"/>
    <x v="1"/>
    <x v="1"/>
    <n v="742.5"/>
    <n v="133.64999999999998"/>
    <n v="876.15"/>
  </r>
  <r>
    <x v="153"/>
    <s v="001-10404"/>
    <n v="20301708816"/>
    <s v="CINES EL POLO S.A"/>
    <x v="0"/>
    <x v="1"/>
    <x v="0"/>
    <n v="475.15"/>
    <n v="85.52699999999993"/>
    <n v="560.67699999999991"/>
  </r>
  <r>
    <x v="154"/>
    <s v="001-10405"/>
    <n v="20263674929"/>
    <s v="FIRTH INDUSTRIES PERU S.A."/>
    <x v="1"/>
    <x v="0"/>
    <x v="4"/>
    <n v="1788.63"/>
    <n v="321.95339999999987"/>
    <n v="2110.5834"/>
  </r>
  <r>
    <x v="155"/>
    <s v="001-10406"/>
    <n v="20307791936"/>
    <s v="FIDELITY INTERNATIONAL RESOURCE MANAGEME"/>
    <x v="0"/>
    <x v="1"/>
    <x v="0"/>
    <n v="456"/>
    <n v="82.079999999999927"/>
    <n v="538.07999999999993"/>
  </r>
  <r>
    <x v="156"/>
    <s v="001-10407"/>
    <n v="20338735651"/>
    <s v="INVERSIONES REGIO MONTANA S.R.LTDA."/>
    <x v="1"/>
    <x v="0"/>
    <x v="4"/>
    <n v="360"/>
    <n v="64.799999999999955"/>
    <n v="424.79999999999995"/>
  </r>
  <r>
    <x v="157"/>
    <s v="001-10408"/>
    <n v="20257364608"/>
    <s v="BOART LONGYEAR SAC"/>
    <x v="1"/>
    <x v="0"/>
    <x v="0"/>
    <n v="220"/>
    <n v="39.599999999999966"/>
    <n v="259.59999999999997"/>
  </r>
  <r>
    <x v="158"/>
    <s v="001-10409"/>
    <n v="20160641810"/>
    <s v="LABORATORIOS BAGO DEL PERU S.A."/>
    <x v="0"/>
    <x v="1"/>
    <x v="0"/>
    <n v="2362.25"/>
    <n v="425.20499999999993"/>
    <n v="2787.4549999999999"/>
  </r>
  <r>
    <x v="159"/>
    <s v="001-10410"/>
    <n v="20390473142"/>
    <s v="DUKE ENERGY INTERNATIONAL PERU INVESTMEN"/>
    <x v="1"/>
    <x v="0"/>
    <x v="3"/>
    <n v="4422"/>
    <n v="795.96"/>
    <n v="5217.96"/>
  </r>
  <r>
    <x v="160"/>
    <s v="001-10411"/>
    <n v="20213053915"/>
    <s v="RIO TINTO MINING AND EXPLO LIM SUC PER"/>
    <x v="3"/>
    <x v="0"/>
    <x v="4"/>
    <n v="74.400000000000006"/>
    <n v="13.391999999999996"/>
    <n v="87.792000000000002"/>
  </r>
  <r>
    <x v="161"/>
    <s v="001-10412"/>
    <n v="20100498902"/>
    <s v="TECNICENTRO CUZCO S.A.C."/>
    <x v="0"/>
    <x v="0"/>
    <x v="4"/>
    <n v="1762.7"/>
    <n v="317.28599999999983"/>
    <n v="2079.9859999999999"/>
  </r>
  <r>
    <x v="162"/>
    <s v="001-10413"/>
    <n v="20267223735"/>
    <s v="LIGHT S.A.C"/>
    <x v="2"/>
    <x v="1"/>
    <x v="0"/>
    <n v="265.35000000000002"/>
    <n v="47.762999999999977"/>
    <n v="313.113"/>
  </r>
  <r>
    <x v="163"/>
    <s v="001-10414"/>
    <n v="20266352337"/>
    <s v="PRODUCTOS TISSUE DEL PERU S.A. O PROTISA"/>
    <x v="0"/>
    <x v="0"/>
    <x v="4"/>
    <n v="1586"/>
    <n v="285.47999999999979"/>
    <n v="1871.4799999999998"/>
  </r>
  <r>
    <x v="164"/>
    <s v="001-10415"/>
    <n v="20122263143"/>
    <s v="FULL FISH SAC"/>
    <x v="3"/>
    <x v="0"/>
    <x v="3"/>
    <n v="1733.06"/>
    <n v="311.95079999999984"/>
    <n v="2045.0107999999998"/>
  </r>
  <r>
    <x v="165"/>
    <s v="001-10416"/>
    <n v="20100136741"/>
    <s v="MINSUR S. A."/>
    <x v="3"/>
    <x v="0"/>
    <x v="4"/>
    <n v="2233"/>
    <n v="401.94000000000005"/>
    <n v="2634.94"/>
  </r>
  <r>
    <x v="166"/>
    <s v="001-10417"/>
    <n v="20330011930"/>
    <s v="CISCO SYSTEMS PERU S.A"/>
    <x v="3"/>
    <x v="1"/>
    <x v="4"/>
    <n v="4813.5"/>
    <n v="866.42999999999938"/>
    <n v="5679.9299999999994"/>
  </r>
  <r>
    <x v="167"/>
    <s v="001-10418"/>
    <n v="20100073723"/>
    <s v="CORPORACION PERUANA DE PRODUCTOS QUIMICO"/>
    <x v="1"/>
    <x v="0"/>
    <x v="3"/>
    <n v="1014"/>
    <n v="182.51999999999998"/>
    <n v="1196.52"/>
  </r>
  <r>
    <x v="168"/>
    <s v="001-10419"/>
    <n v="20204441007"/>
    <s v="JOHNSON &amp; JOHNSON DEL PERU S.A"/>
    <x v="3"/>
    <x v="0"/>
    <x v="4"/>
    <n v="2772"/>
    <n v="498.96000000000004"/>
    <n v="3270.96"/>
  </r>
  <r>
    <x v="169"/>
    <s v="001-10420"/>
    <n v="20305354563"/>
    <s v="BOTICAS FASA SA"/>
    <x v="3"/>
    <x v="1"/>
    <x v="3"/>
    <n v="4288.8500000000004"/>
    <n v="771.99299999999948"/>
    <n v="5060.8429999999998"/>
  </r>
  <r>
    <x v="170"/>
    <s v="001-10421"/>
    <n v="20101908781"/>
    <s v="EMPRESA DE ASESORIA Y SERVICIOS S A"/>
    <x v="3"/>
    <x v="1"/>
    <x v="3"/>
    <n v="2769"/>
    <n v="498.41999999999962"/>
    <n v="3267.4199999999996"/>
  </r>
  <r>
    <x v="171"/>
    <s v="001-10422"/>
    <n v="20108572958"/>
    <s v="SOCIEDAD IMPORTADORA S.A."/>
    <x v="0"/>
    <x v="1"/>
    <x v="0"/>
    <n v="329.69"/>
    <n v="59.344200000000001"/>
    <n v="389.0342"/>
  </r>
  <r>
    <x v="172"/>
    <s v="001-10423"/>
    <n v="20143988725"/>
    <s v="INVERSIONES LUXURY SOCIEDAD ANONIMA"/>
    <x v="0"/>
    <x v="0"/>
    <x v="3"/>
    <n v="616.5"/>
    <n v="110.96999999999991"/>
    <n v="727.46999999999991"/>
  </r>
  <r>
    <x v="173"/>
    <s v="001-10424"/>
    <n v="20102154046"/>
    <s v="INDUSTRIAS ALIMENTARIAS S R LTDA"/>
    <x v="4"/>
    <x v="1"/>
    <x v="0"/>
    <n v="933.5"/>
    <n v="168.02999999999997"/>
    <n v="1101.53"/>
  </r>
  <r>
    <x v="174"/>
    <s v="001-10425"/>
    <n v="20100118760"/>
    <s v="DINERS CLUB PERU S A"/>
    <x v="4"/>
    <x v="0"/>
    <x v="3"/>
    <n v="491.5"/>
    <n v="88.469999999999914"/>
    <n v="579.96999999999991"/>
  </r>
  <r>
    <x v="175"/>
    <s v="001-10426"/>
    <n v="20100129028"/>
    <s v="NOVARTIS BIOSCIENCES PERU S.A."/>
    <x v="3"/>
    <x v="1"/>
    <x v="3"/>
    <n v="6750"/>
    <n v="1215"/>
    <n v="7965"/>
  </r>
  <r>
    <x v="176"/>
    <s v="001-10427"/>
    <n v="20503493650"/>
    <s v="SERVICIOS MEDICOS ASOCIAD.SAN BORJA S.A.C"/>
    <x v="0"/>
    <x v="1"/>
    <x v="0"/>
    <n v="1402"/>
    <n v="252.3599999999999"/>
    <n v="1654.36"/>
  </r>
  <r>
    <x v="177"/>
    <s v="001-10428"/>
    <n v="20112999621"/>
    <s v="SOC. NAC. DE MINERIA PETROLEO Y ENERGIA"/>
    <x v="3"/>
    <x v="0"/>
    <x v="4"/>
    <n v="1692"/>
    <n v="304.55999999999995"/>
    <n v="1996.56"/>
  </r>
  <r>
    <x v="178"/>
    <s v="001-10429"/>
    <n v="20330011930"/>
    <s v="CISCO SYSTEMS PERU S.A"/>
    <x v="3"/>
    <x v="0"/>
    <x v="0"/>
    <n v="1773"/>
    <n v="319.13999999999987"/>
    <n v="2092.14"/>
  </r>
  <r>
    <x v="179"/>
    <s v="001-10430"/>
    <n v="20100134455"/>
    <s v="INSTITUTO SUPERIOR SAN IGNACIO DE LOYOLA"/>
    <x v="3"/>
    <x v="0"/>
    <x v="3"/>
    <n v="405.75"/>
    <n v="73.034999999999968"/>
    <n v="478.78499999999997"/>
  </r>
  <r>
    <x v="180"/>
    <s v="001-10431"/>
    <n v="20100073723"/>
    <s v="CORPORACION PERUANA DE PRODUCTOS QUIMICO"/>
    <x v="3"/>
    <x v="0"/>
    <x v="4"/>
    <n v="1485.8"/>
    <n v="267.44399999999996"/>
    <n v="1753.2439999999999"/>
  </r>
  <r>
    <x v="181"/>
    <s v="001-10432"/>
    <n v="20100012856"/>
    <s v="COMPAÑIA GOODYEAR DEL PERU S.A."/>
    <x v="0"/>
    <x v="1"/>
    <x v="0"/>
    <n v="273.60000000000002"/>
    <n v="49.24799999999999"/>
    <n v="322.84800000000001"/>
  </r>
  <r>
    <x v="182"/>
    <s v="001-10433"/>
    <n v="20101908781"/>
    <s v="EMPRESA DE ASESORIA Y SERVICIOS S A"/>
    <x v="3"/>
    <x v="0"/>
    <x v="4"/>
    <n v="810"/>
    <n v="145.79999999999995"/>
    <n v="955.8"/>
  </r>
  <r>
    <x v="183"/>
    <s v="001-10434"/>
    <n v="20108572958"/>
    <s v="SOCIEDAD IMPORTADORA S.A."/>
    <x v="0"/>
    <x v="1"/>
    <x v="0"/>
    <n v="1332"/>
    <n v="239.76"/>
    <n v="1571.76"/>
  </r>
  <r>
    <x v="184"/>
    <s v="001-10435"/>
    <n v="20108056941"/>
    <s v="SOCIEDAD ADUANERA DEL CALLAO S.A."/>
    <x v="1"/>
    <x v="0"/>
    <x v="4"/>
    <n v="305"/>
    <n v="54.899999999999977"/>
    <n v="359.9"/>
  </r>
  <r>
    <x v="185"/>
    <s v="001-10436"/>
    <n v="20102154046"/>
    <s v="INDUSTRIAS ALIMENTARIAS S R LTDA"/>
    <x v="3"/>
    <x v="0"/>
    <x v="4"/>
    <n v="3740"/>
    <n v="673.19999999999982"/>
    <n v="4413.2"/>
  </r>
  <r>
    <x v="186"/>
    <s v="001-10437"/>
    <n v="20297687655"/>
    <s v="COBRECON S.A."/>
    <x v="1"/>
    <x v="1"/>
    <x v="0"/>
    <n v="858"/>
    <n v="154.43999999999994"/>
    <n v="1012.4399999999999"/>
  </r>
  <r>
    <x v="187"/>
    <s v="001-10438"/>
    <n v="20100067596"/>
    <s v="FABRICA DE CUBIERTOS SAC"/>
    <x v="3"/>
    <x v="0"/>
    <x v="2"/>
    <n v="5218"/>
    <n v="939.23999999999978"/>
    <n v="6157.24"/>
  </r>
  <r>
    <x v="188"/>
    <s v="001-10424"/>
    <n v="20102154046"/>
    <s v="INDUSTRIAS ALIMENTARIAS S R LTDA"/>
    <x v="4"/>
    <x v="1"/>
    <x v="0"/>
    <n v="933.5"/>
    <n v="168.02999999999997"/>
    <n v="1101.53"/>
  </r>
  <r>
    <x v="189"/>
    <s v="001-10425"/>
    <n v="20100118760"/>
    <s v="DINERS CLUB PERU S A"/>
    <x v="4"/>
    <x v="0"/>
    <x v="3"/>
    <n v="491.5"/>
    <n v="88.469999999999914"/>
    <n v="579.96999999999991"/>
  </r>
  <r>
    <x v="190"/>
    <s v="001-10426"/>
    <n v="20100129028"/>
    <s v="NOVARTIS BIOSCIENCES PERU S.A."/>
    <x v="3"/>
    <x v="1"/>
    <x v="3"/>
    <n v="6750"/>
    <n v="1215"/>
    <n v="7965"/>
  </r>
  <r>
    <x v="191"/>
    <s v="001-10427"/>
    <n v="20503493650"/>
    <s v="SERVICIOS MEDICOS ASOCIAD.SAN BORJA S.A.C"/>
    <x v="0"/>
    <x v="1"/>
    <x v="0"/>
    <n v="1402"/>
    <n v="252.3599999999999"/>
    <n v="1654.36"/>
  </r>
  <r>
    <x v="192"/>
    <s v="001-10428"/>
    <n v="20112999621"/>
    <s v="SOC. NAC. DE MINERIA PETROLEO Y ENERGIA"/>
    <x v="3"/>
    <x v="0"/>
    <x v="4"/>
    <n v="1692"/>
    <n v="304.55999999999995"/>
    <n v="1996.56"/>
  </r>
  <r>
    <x v="193"/>
    <s v="001-10429"/>
    <n v="20330011930"/>
    <s v="CISCO SYSTEMS PERU S.A"/>
    <x v="3"/>
    <x v="0"/>
    <x v="0"/>
    <n v="1773"/>
    <n v="319.13999999999987"/>
    <n v="2092.14"/>
  </r>
  <r>
    <x v="194"/>
    <s v="001-10430"/>
    <n v="20100134455"/>
    <s v="INSTITUTO SUPERIOR SAN IGNACIO DE LOYOLA"/>
    <x v="3"/>
    <x v="0"/>
    <x v="3"/>
    <n v="405.75"/>
    <n v="73.034999999999968"/>
    <n v="478.78499999999997"/>
  </r>
  <r>
    <x v="195"/>
    <s v="001-10431"/>
    <n v="20100073723"/>
    <s v="CORPORACION PERUANA DE PRODUCTOS QUIMICO"/>
    <x v="3"/>
    <x v="0"/>
    <x v="4"/>
    <n v="1485.8"/>
    <n v="267.44399999999996"/>
    <n v="1753.2439999999999"/>
  </r>
  <r>
    <x v="196"/>
    <s v="001-10432"/>
    <n v="20100012856"/>
    <s v="COMPAÑIA GOODYEAR DEL PERU S.A."/>
    <x v="0"/>
    <x v="1"/>
    <x v="0"/>
    <n v="273.60000000000002"/>
    <n v="49.24799999999999"/>
    <n v="322.84800000000001"/>
  </r>
  <r>
    <x v="197"/>
    <s v="001-10433"/>
    <n v="20101908781"/>
    <s v="EMPRESA DE ASESORIA Y SERVICIOS S A"/>
    <x v="3"/>
    <x v="0"/>
    <x v="4"/>
    <n v="810"/>
    <n v="145.79999999999995"/>
    <n v="955.8"/>
  </r>
  <r>
    <x v="198"/>
    <s v="001-10434"/>
    <n v="20108572958"/>
    <s v="SOCIEDAD IMPORTADORA S.A."/>
    <x v="0"/>
    <x v="1"/>
    <x v="0"/>
    <n v="1332"/>
    <n v="239.76"/>
    <n v="1571.76"/>
  </r>
  <r>
    <x v="199"/>
    <s v="001-10435"/>
    <n v="20108056941"/>
    <s v="SOCIEDAD ADUANERA DEL CALLAO S.A."/>
    <x v="1"/>
    <x v="0"/>
    <x v="4"/>
    <n v="305"/>
    <n v="54.899999999999977"/>
    <n v="359.9"/>
  </r>
  <r>
    <x v="200"/>
    <s v="001-10436"/>
    <n v="20102154046"/>
    <s v="INDUSTRIAS ALIMENTARIAS S R LTDA"/>
    <x v="3"/>
    <x v="0"/>
    <x v="4"/>
    <n v="3740"/>
    <n v="673.19999999999982"/>
    <n v="4413.2"/>
  </r>
  <r>
    <x v="201"/>
    <s v="001-10437"/>
    <n v="20297687655"/>
    <s v="COBRECON S.A."/>
    <x v="1"/>
    <x v="1"/>
    <x v="0"/>
    <n v="858"/>
    <n v="154.43999999999994"/>
    <n v="1012.4399999999999"/>
  </r>
  <r>
    <x v="202"/>
    <s v="001-10438"/>
    <n v="20100067596"/>
    <s v="FABRICA DE CUBIERTOS SAC"/>
    <x v="3"/>
    <x v="0"/>
    <x v="2"/>
    <n v="5218"/>
    <n v="939.23999999999978"/>
    <n v="6157.24"/>
  </r>
  <r>
    <x v="203"/>
    <s v="001-10432"/>
    <n v="20100012856"/>
    <s v="COMPAÑIA GOODYEAR DEL PERU S.A."/>
    <x v="0"/>
    <x v="1"/>
    <x v="0"/>
    <n v="273.60000000000002"/>
    <n v="49.24799999999999"/>
    <n v="322.84800000000001"/>
  </r>
  <r>
    <x v="204"/>
    <s v="001-10433"/>
    <n v="20101908781"/>
    <s v="EMPRESA DE ASESORIA Y SERVICIOS S A"/>
    <x v="3"/>
    <x v="0"/>
    <x v="4"/>
    <n v="810"/>
    <n v="145.79999999999995"/>
    <n v="955.8"/>
  </r>
  <r>
    <x v="205"/>
    <s v="001-10434"/>
    <n v="20108572958"/>
    <s v="SOCIEDAD IMPORTADORA S.A."/>
    <x v="0"/>
    <x v="1"/>
    <x v="0"/>
    <n v="1332"/>
    <n v="239.76"/>
    <n v="1571.76"/>
  </r>
  <r>
    <x v="206"/>
    <s v="001-10435"/>
    <n v="20108056941"/>
    <s v="SOCIEDAD ADUANERA DEL CALLAO S.A."/>
    <x v="1"/>
    <x v="0"/>
    <x v="4"/>
    <n v="305"/>
    <n v="54.899999999999977"/>
    <n v="359.9"/>
  </r>
  <r>
    <x v="207"/>
    <s v="001-10436"/>
    <n v="20102154046"/>
    <s v="INDUSTRIAS ALIMENTARIAS S R LTDA"/>
    <x v="3"/>
    <x v="0"/>
    <x v="4"/>
    <n v="3740"/>
    <n v="673.19999999999982"/>
    <n v="4413.2"/>
  </r>
  <r>
    <x v="208"/>
    <s v="001-10437"/>
    <n v="20297687655"/>
    <s v="COBRECON S.A."/>
    <x v="1"/>
    <x v="1"/>
    <x v="0"/>
    <n v="858"/>
    <n v="154.43999999999994"/>
    <n v="1012.4399999999999"/>
  </r>
  <r>
    <x v="209"/>
    <s v="001-10438"/>
    <n v="20100067596"/>
    <s v="FABRICA DE CUBIERTOS SAC"/>
    <x v="3"/>
    <x v="0"/>
    <x v="2"/>
    <n v="5218"/>
    <n v="939.23999999999978"/>
    <n v="6157.24"/>
  </r>
  <r>
    <x v="210"/>
    <s v="001-10424"/>
    <n v="20102154046"/>
    <s v="INDUSTRIAS ALIMENTARIAS S R LTDA"/>
    <x v="4"/>
    <x v="1"/>
    <x v="0"/>
    <n v="933.5"/>
    <n v="168.02999999999997"/>
    <n v="1101.53"/>
  </r>
  <r>
    <x v="211"/>
    <s v="001-10425"/>
    <n v="20100118760"/>
    <s v="DINERS CLUB PERU S A"/>
    <x v="4"/>
    <x v="0"/>
    <x v="3"/>
    <n v="491.5"/>
    <n v="88.469999999999914"/>
    <n v="579.96999999999991"/>
  </r>
  <r>
    <x v="212"/>
    <s v="001-10426"/>
    <n v="20100129028"/>
    <s v="NOVARTIS BIOSCIENCES PERU S.A."/>
    <x v="3"/>
    <x v="1"/>
    <x v="3"/>
    <n v="6750"/>
    <n v="1215"/>
    <n v="7965"/>
  </r>
  <r>
    <x v="213"/>
    <s v="001-10427"/>
    <n v="20503493650"/>
    <s v="SERVICIOS MEDICOS ASOCIAD.SAN BORJA S.A.C"/>
    <x v="0"/>
    <x v="1"/>
    <x v="0"/>
    <n v="1402"/>
    <n v="252.3599999999999"/>
    <n v="1654.36"/>
  </r>
  <r>
    <x v="214"/>
    <s v="001-10428"/>
    <n v="20112999621"/>
    <s v="SOC. NAC. DE MINERIA PETROLEO Y ENERGIA"/>
    <x v="3"/>
    <x v="0"/>
    <x v="4"/>
    <n v="1692"/>
    <n v="304.55999999999995"/>
    <n v="1996.56"/>
  </r>
  <r>
    <x v="215"/>
    <s v="001-10429"/>
    <n v="20330011930"/>
    <s v="CISCO SYSTEMS PERU S.A"/>
    <x v="3"/>
    <x v="0"/>
    <x v="0"/>
    <n v="1773"/>
    <n v="319.13999999999987"/>
    <n v="2092.14"/>
  </r>
  <r>
    <x v="216"/>
    <s v="001-10430"/>
    <n v="20100134455"/>
    <s v="INSTITUTO SUPERIOR SAN IGNACIO DE LOYOLA"/>
    <x v="3"/>
    <x v="0"/>
    <x v="3"/>
    <n v="405.75"/>
    <n v="73.034999999999968"/>
    <n v="478.78499999999997"/>
  </r>
  <r>
    <x v="217"/>
    <s v="001-10431"/>
    <n v="20100073723"/>
    <s v="CORPORACION PERUANA DE PRODUCTOS QUIMICO"/>
    <x v="3"/>
    <x v="0"/>
    <x v="4"/>
    <n v="1485.8"/>
    <n v="267.44399999999996"/>
    <n v="1753.2439999999999"/>
  </r>
  <r>
    <x v="218"/>
    <s v="001-10432"/>
    <n v="20100012856"/>
    <s v="COMPAÑIA GOODYEAR DEL PERU S.A."/>
    <x v="0"/>
    <x v="1"/>
    <x v="0"/>
    <n v="273.60000000000002"/>
    <n v="49.24799999999999"/>
    <n v="322.84800000000001"/>
  </r>
  <r>
    <x v="219"/>
    <s v="001-10433"/>
    <n v="20101908781"/>
    <s v="EMPRESA DE ASESORIA Y SERVICIOS S A"/>
    <x v="3"/>
    <x v="0"/>
    <x v="4"/>
    <n v="810"/>
    <n v="145.79999999999995"/>
    <n v="955.8"/>
  </r>
  <r>
    <x v="220"/>
    <s v="001-10434"/>
    <n v="20108572958"/>
    <s v="SOCIEDAD IMPORTADORA S.A."/>
    <x v="0"/>
    <x v="1"/>
    <x v="0"/>
    <n v="1332"/>
    <n v="239.76"/>
    <n v="1571.76"/>
  </r>
  <r>
    <x v="221"/>
    <s v="001-10435"/>
    <n v="20108056941"/>
    <s v="SOCIEDAD ADUANERA DEL CALLAO S.A."/>
    <x v="1"/>
    <x v="0"/>
    <x v="4"/>
    <n v="305"/>
    <n v="54.899999999999977"/>
    <n v="359.9"/>
  </r>
  <r>
    <x v="222"/>
    <s v="001-10436"/>
    <n v="20102154046"/>
    <s v="INDUSTRIAS ALIMENTARIAS S R LTDA"/>
    <x v="3"/>
    <x v="0"/>
    <x v="4"/>
    <n v="3740"/>
    <n v="673.19999999999982"/>
    <n v="4413.2"/>
  </r>
  <r>
    <x v="223"/>
    <s v="001-10437"/>
    <n v="20297687655"/>
    <s v="COBRECON S.A."/>
    <x v="1"/>
    <x v="1"/>
    <x v="0"/>
    <n v="858"/>
    <n v="154.43999999999994"/>
    <n v="1012.4399999999999"/>
  </r>
  <r>
    <x v="224"/>
    <s v="001-10438"/>
    <n v="20100067596"/>
    <s v="FABRICA DE CUBIERTOS SAC"/>
    <x v="3"/>
    <x v="0"/>
    <x v="2"/>
    <n v="5218"/>
    <n v="939.23999999999978"/>
    <n v="6157.24"/>
  </r>
  <r>
    <x v="225"/>
    <s v="001-10437"/>
    <n v="20297687655"/>
    <s v="COBRECON S.A."/>
    <x v="1"/>
    <x v="1"/>
    <x v="0"/>
    <n v="858"/>
    <n v="154.43999999999994"/>
    <n v="1012.4399999999999"/>
  </r>
  <r>
    <x v="226"/>
    <s v="001-10438"/>
    <n v="20100067596"/>
    <s v="FABRICA DE CUBIERTOS SAC"/>
    <x v="3"/>
    <x v="0"/>
    <x v="2"/>
    <n v="5218"/>
    <n v="939.23999999999978"/>
    <n v="6157.24"/>
  </r>
  <r>
    <x v="227"/>
    <s v="001-10432"/>
    <n v="20100012856"/>
    <s v="COMPAÑIA GOODYEAR DEL PERU S.A."/>
    <x v="0"/>
    <x v="1"/>
    <x v="0"/>
    <n v="273.60000000000002"/>
    <n v="49.24799999999999"/>
    <n v="322.84800000000001"/>
  </r>
  <r>
    <x v="228"/>
    <s v="001-10433"/>
    <n v="20101908781"/>
    <s v="EMPRESA DE ASESORIA Y SERVICIOS S A"/>
    <x v="3"/>
    <x v="0"/>
    <x v="4"/>
    <n v="810"/>
    <n v="145.79999999999995"/>
    <n v="955.8"/>
  </r>
  <r>
    <x v="229"/>
    <s v="001-10434"/>
    <n v="20108572958"/>
    <s v="SOCIEDAD IMPORTADORA S.A."/>
    <x v="0"/>
    <x v="1"/>
    <x v="0"/>
    <n v="1332"/>
    <n v="239.76"/>
    <n v="1571.76"/>
  </r>
  <r>
    <x v="230"/>
    <s v="001-10435"/>
    <n v="20108056941"/>
    <s v="SOCIEDAD ADUANERA DEL CALLAO S.A."/>
    <x v="1"/>
    <x v="0"/>
    <x v="4"/>
    <n v="305"/>
    <n v="54.899999999999977"/>
    <n v="359.9"/>
  </r>
  <r>
    <x v="231"/>
    <s v="001-10436"/>
    <n v="20102154046"/>
    <s v="INDUSTRIAS ALIMENTARIAS S R LTDA"/>
    <x v="3"/>
    <x v="0"/>
    <x v="4"/>
    <n v="3740"/>
    <n v="673.19999999999982"/>
    <n v="4413.2"/>
  </r>
  <r>
    <x v="232"/>
    <s v="001-10437"/>
    <n v="20297687655"/>
    <s v="COBRECON S.A."/>
    <x v="1"/>
    <x v="1"/>
    <x v="0"/>
    <n v="858"/>
    <n v="154.43999999999994"/>
    <n v="1012.4399999999999"/>
  </r>
  <r>
    <x v="233"/>
    <s v="001-10438"/>
    <n v="20100067596"/>
    <s v="FABRICA DE CUBIERTOS SAC"/>
    <x v="3"/>
    <x v="0"/>
    <x v="2"/>
    <n v="5218"/>
    <n v="939.23999999999978"/>
    <n v="6157.24"/>
  </r>
  <r>
    <x v="234"/>
    <s v="001-10424"/>
    <n v="20102154046"/>
    <s v="INDUSTRIAS ALIMENTARIAS S R LTDA"/>
    <x v="4"/>
    <x v="1"/>
    <x v="0"/>
    <n v="933.5"/>
    <n v="168.02999999999997"/>
    <n v="1101.53"/>
  </r>
  <r>
    <x v="235"/>
    <s v="001-10425"/>
    <n v="20100118760"/>
    <s v="DINERS CLUB PERU S A"/>
    <x v="4"/>
    <x v="0"/>
    <x v="3"/>
    <n v="491.5"/>
    <n v="88.469999999999914"/>
    <n v="579.96999999999991"/>
  </r>
  <r>
    <x v="236"/>
    <s v="001-10426"/>
    <n v="20100129028"/>
    <s v="NOVARTIS BIOSCIENCES PERU S.A."/>
    <x v="3"/>
    <x v="1"/>
    <x v="3"/>
    <n v="6750"/>
    <n v="1215"/>
    <n v="7965"/>
  </r>
  <r>
    <x v="237"/>
    <s v="001-10427"/>
    <n v="20503493650"/>
    <s v="SERVICIOS MEDICOS ASOCIAD.SAN BORJA S.A.C"/>
    <x v="0"/>
    <x v="1"/>
    <x v="0"/>
    <n v="1402"/>
    <n v="252.3599999999999"/>
    <n v="1654.36"/>
  </r>
  <r>
    <x v="238"/>
    <s v="001-10428"/>
    <n v="20112999621"/>
    <s v="SOC. NAC. DE MINERIA PETROLEO Y ENERGIA"/>
    <x v="3"/>
    <x v="0"/>
    <x v="4"/>
    <n v="1692"/>
    <n v="304.55999999999995"/>
    <n v="1996.56"/>
  </r>
  <r>
    <x v="239"/>
    <s v="001-10429"/>
    <n v="20330011930"/>
    <s v="CISCO SYSTEMS PERU S.A"/>
    <x v="3"/>
    <x v="0"/>
    <x v="0"/>
    <n v="1773"/>
    <n v="319.13999999999987"/>
    <n v="2092.14"/>
  </r>
  <r>
    <x v="240"/>
    <s v="001-10430"/>
    <n v="20100134455"/>
    <s v="INSTITUTO SUPERIOR SAN IGNACIO DE LOYOLA"/>
    <x v="3"/>
    <x v="0"/>
    <x v="3"/>
    <n v="405.75"/>
    <n v="73.034999999999968"/>
    <n v="478.78499999999997"/>
  </r>
  <r>
    <x v="241"/>
    <s v="001-10431"/>
    <n v="20100073723"/>
    <s v="CORPORACION PERUANA DE PRODUCTOS QUIMICO"/>
    <x v="3"/>
    <x v="0"/>
    <x v="4"/>
    <n v="1485.8"/>
    <n v="267.44399999999996"/>
    <n v="1753.2439999999999"/>
  </r>
  <r>
    <x v="242"/>
    <s v="001-10432"/>
    <n v="20100012856"/>
    <s v="COMPAÑIA GOODYEAR DEL PERU S.A."/>
    <x v="0"/>
    <x v="1"/>
    <x v="0"/>
    <n v="273.60000000000002"/>
    <n v="49.24799999999999"/>
    <n v="322.84800000000001"/>
  </r>
  <r>
    <x v="243"/>
    <s v="001-10433"/>
    <n v="20101908781"/>
    <s v="EMPRESA DE ASESORIA Y SERVICIOS S A"/>
    <x v="3"/>
    <x v="0"/>
    <x v="4"/>
    <n v="810"/>
    <n v="145.79999999999995"/>
    <n v="955.8"/>
  </r>
  <r>
    <x v="244"/>
    <s v="001-10434"/>
    <n v="20108572958"/>
    <s v="SOCIEDAD IMPORTADORA S.A."/>
    <x v="0"/>
    <x v="1"/>
    <x v="0"/>
    <n v="1332"/>
    <n v="239.76"/>
    <n v="1571.76"/>
  </r>
  <r>
    <x v="245"/>
    <s v="001-10435"/>
    <n v="20108056941"/>
    <s v="SOCIEDAD ADUANERA DEL CALLAO S.A."/>
    <x v="1"/>
    <x v="0"/>
    <x v="4"/>
    <n v="305"/>
    <n v="54.899999999999977"/>
    <n v="359.9"/>
  </r>
  <r>
    <x v="246"/>
    <s v="001-10436"/>
    <n v="20102154046"/>
    <s v="INDUSTRIAS ALIMENTARIAS S R LTDA"/>
    <x v="3"/>
    <x v="0"/>
    <x v="4"/>
    <n v="3740"/>
    <n v="673.19999999999982"/>
    <n v="4413.2"/>
  </r>
  <r>
    <x v="247"/>
    <s v="001-10437"/>
    <n v="20297687655"/>
    <s v="COBRECON S.A."/>
    <x v="1"/>
    <x v="1"/>
    <x v="0"/>
    <n v="858"/>
    <n v="154.43999999999994"/>
    <n v="1012.4399999999999"/>
  </r>
  <r>
    <x v="248"/>
    <s v="001-10438"/>
    <n v="20100067596"/>
    <s v="FABRICA DE CUBIERTOS SAC"/>
    <x v="3"/>
    <x v="0"/>
    <x v="2"/>
    <n v="5218"/>
    <n v="939.23999999999978"/>
    <n v="6157.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n v="7551"/>
    <x v="0"/>
  </r>
  <r>
    <x v="0"/>
    <x v="1"/>
    <n v="1359.1800000000003"/>
    <x v="0"/>
  </r>
  <r>
    <x v="0"/>
    <x v="2"/>
    <n v="8910.18"/>
    <x v="0"/>
  </r>
  <r>
    <x v="1"/>
    <x v="0"/>
    <n v="5000"/>
    <x v="0"/>
  </r>
  <r>
    <x v="1"/>
    <x v="1"/>
    <n v="900"/>
    <x v="0"/>
  </r>
  <r>
    <x v="1"/>
    <x v="2"/>
    <n v="5900"/>
    <x v="0"/>
  </r>
  <r>
    <x v="0"/>
    <x v="0"/>
    <n v="1119.9000000000001"/>
    <x v="0"/>
  </r>
  <r>
    <x v="0"/>
    <x v="1"/>
    <n v="201.58199999999988"/>
    <x v="0"/>
  </r>
  <r>
    <x v="0"/>
    <x v="2"/>
    <n v="1321.482"/>
    <x v="0"/>
  </r>
  <r>
    <x v="1"/>
    <x v="0"/>
    <n v="96913"/>
    <x v="0"/>
  </r>
  <r>
    <x v="1"/>
    <x v="1"/>
    <n v="17444.339999999997"/>
    <x v="0"/>
  </r>
  <r>
    <x v="1"/>
    <x v="2"/>
    <n v="114357.34"/>
    <x v="0"/>
  </r>
  <r>
    <x v="0"/>
    <x v="0"/>
    <n v="1176"/>
    <x v="0"/>
  </r>
  <r>
    <x v="0"/>
    <x v="1"/>
    <n v="211.67999999999984"/>
    <x v="0"/>
  </r>
  <r>
    <x v="0"/>
    <x v="2"/>
    <n v="1387.6799999999998"/>
    <x v="0"/>
  </r>
  <r>
    <x v="1"/>
    <x v="0"/>
    <n v="1101.2"/>
    <x v="0"/>
  </r>
  <r>
    <x v="1"/>
    <x v="1"/>
    <n v="198.21599999999989"/>
    <x v="0"/>
  </r>
  <r>
    <x v="1"/>
    <x v="2"/>
    <n v="1299.4159999999999"/>
    <x v="0"/>
  </r>
  <r>
    <x v="1"/>
    <x v="0"/>
    <n v="5023"/>
    <x v="0"/>
  </r>
  <r>
    <x v="1"/>
    <x v="1"/>
    <n v="904.13999999999942"/>
    <x v="0"/>
  </r>
  <r>
    <x v="1"/>
    <x v="2"/>
    <n v="5927.1399999999994"/>
    <x v="0"/>
  </r>
  <r>
    <x v="0"/>
    <x v="0"/>
    <n v="613.20000000000005"/>
    <x v="0"/>
  </r>
  <r>
    <x v="0"/>
    <x v="1"/>
    <n v="110.37599999999998"/>
    <x v="0"/>
  </r>
  <r>
    <x v="0"/>
    <x v="2"/>
    <n v="723.57600000000002"/>
    <x v="0"/>
  </r>
  <r>
    <x v="1"/>
    <x v="0"/>
    <n v="2169"/>
    <x v="0"/>
  </r>
  <r>
    <x v="1"/>
    <x v="1"/>
    <n v="390.42000000000007"/>
    <x v="0"/>
  </r>
  <r>
    <x v="1"/>
    <x v="2"/>
    <n v="2559.42"/>
    <x v="0"/>
  </r>
  <r>
    <x v="1"/>
    <x v="0"/>
    <n v="2500.9"/>
    <x v="0"/>
  </r>
  <r>
    <x v="1"/>
    <x v="1"/>
    <n v="450.16199999999981"/>
    <x v="0"/>
  </r>
  <r>
    <x v="1"/>
    <x v="2"/>
    <n v="2951.0619999999999"/>
    <x v="0"/>
  </r>
  <r>
    <x v="1"/>
    <x v="0"/>
    <n v="500"/>
    <x v="0"/>
  </r>
  <r>
    <x v="1"/>
    <x v="1"/>
    <n v="90"/>
    <x v="0"/>
  </r>
  <r>
    <x v="1"/>
    <x v="2"/>
    <n v="590"/>
    <x v="0"/>
  </r>
  <r>
    <x v="2"/>
    <x v="0"/>
    <n v="268.8"/>
    <x v="1"/>
  </r>
  <r>
    <x v="2"/>
    <x v="1"/>
    <n v="48.383999999999958"/>
    <x v="1"/>
  </r>
  <r>
    <x v="2"/>
    <x v="2"/>
    <n v="317.18399999999997"/>
    <x v="1"/>
  </r>
  <r>
    <x v="2"/>
    <x v="0"/>
    <n v="1614.8"/>
    <x v="1"/>
  </r>
  <r>
    <x v="2"/>
    <x v="1"/>
    <n v="290.66399999999999"/>
    <x v="1"/>
  </r>
  <r>
    <x v="2"/>
    <x v="2"/>
    <n v="1905.4639999999999"/>
    <x v="1"/>
  </r>
  <r>
    <x v="2"/>
    <x v="0"/>
    <n v="1810"/>
    <x v="1"/>
  </r>
  <r>
    <x v="2"/>
    <x v="1"/>
    <n v="325.79999999999973"/>
    <x v="1"/>
  </r>
  <r>
    <x v="2"/>
    <x v="2"/>
    <n v="2135.7999999999997"/>
    <x v="1"/>
  </r>
  <r>
    <x v="2"/>
    <x v="0"/>
    <n v="88.5"/>
    <x v="1"/>
  </r>
  <r>
    <x v="2"/>
    <x v="1"/>
    <n v="15.929999999999993"/>
    <x v="1"/>
  </r>
  <r>
    <x v="2"/>
    <x v="2"/>
    <n v="104.42999999999999"/>
    <x v="1"/>
  </r>
  <r>
    <x v="3"/>
    <x v="0"/>
    <n v="2436.1799999999998"/>
    <x v="1"/>
  </r>
  <r>
    <x v="3"/>
    <x v="1"/>
    <n v="438.51239999999962"/>
    <x v="1"/>
  </r>
  <r>
    <x v="3"/>
    <x v="2"/>
    <n v="2874.6923999999995"/>
    <x v="1"/>
  </r>
  <r>
    <x v="3"/>
    <x v="0"/>
    <n v="5398.73"/>
    <x v="1"/>
  </r>
  <r>
    <x v="3"/>
    <x v="1"/>
    <n v="971.77139999999963"/>
    <x v="1"/>
  </r>
  <r>
    <x v="3"/>
    <x v="2"/>
    <n v="6370.5013999999992"/>
    <x v="1"/>
  </r>
  <r>
    <x v="2"/>
    <x v="0"/>
    <n v="136.30000000000001"/>
    <x v="1"/>
  </r>
  <r>
    <x v="2"/>
    <x v="1"/>
    <n v="24.533999999999992"/>
    <x v="1"/>
  </r>
  <r>
    <x v="2"/>
    <x v="2"/>
    <n v="160.834"/>
    <x v="1"/>
  </r>
  <r>
    <x v="2"/>
    <x v="0"/>
    <n v="1549.6"/>
    <x v="1"/>
  </r>
  <r>
    <x v="2"/>
    <x v="1"/>
    <n v="278.92799999999988"/>
    <x v="1"/>
  </r>
  <r>
    <x v="2"/>
    <x v="2"/>
    <n v="1828.5279999999998"/>
    <x v="1"/>
  </r>
  <r>
    <x v="4"/>
    <x v="0"/>
    <n v="950"/>
    <x v="1"/>
  </r>
  <r>
    <x v="4"/>
    <x v="1"/>
    <n v="171"/>
    <x v="1"/>
  </r>
  <r>
    <x v="4"/>
    <x v="2"/>
    <n v="1121"/>
    <x v="1"/>
  </r>
  <r>
    <x v="2"/>
    <x v="0"/>
    <n v="403.2"/>
    <x v="1"/>
  </r>
  <r>
    <x v="2"/>
    <x v="1"/>
    <n v="72.575999999999965"/>
    <x v="1"/>
  </r>
  <r>
    <x v="2"/>
    <x v="2"/>
    <n v="475.77599999999995"/>
    <x v="1"/>
  </r>
  <r>
    <x v="4"/>
    <x v="0"/>
    <n v="1689.78"/>
    <x v="1"/>
  </r>
  <r>
    <x v="4"/>
    <x v="1"/>
    <n v="304.16039999999998"/>
    <x v="1"/>
  </r>
  <r>
    <x v="4"/>
    <x v="2"/>
    <n v="1993.9404"/>
    <x v="1"/>
  </r>
  <r>
    <x v="4"/>
    <x v="0"/>
    <n v="103.2"/>
    <x v="1"/>
  </r>
  <r>
    <x v="4"/>
    <x v="1"/>
    <n v="18.575999999999993"/>
    <x v="1"/>
  </r>
  <r>
    <x v="4"/>
    <x v="2"/>
    <n v="121.776"/>
    <x v="1"/>
  </r>
  <r>
    <x v="4"/>
    <x v="0"/>
    <n v="899"/>
    <x v="1"/>
  </r>
  <r>
    <x v="4"/>
    <x v="1"/>
    <n v="161.81999999999994"/>
    <x v="1"/>
  </r>
  <r>
    <x v="4"/>
    <x v="2"/>
    <n v="1060.82"/>
    <x v="1"/>
  </r>
  <r>
    <x v="2"/>
    <x v="0"/>
    <n v="2222.4"/>
    <x v="1"/>
  </r>
  <r>
    <x v="2"/>
    <x v="1"/>
    <n v="400.0319999999997"/>
    <x v="1"/>
  </r>
  <r>
    <x v="2"/>
    <x v="2"/>
    <n v="2622.4319999999998"/>
    <x v="1"/>
  </r>
  <r>
    <x v="4"/>
    <x v="0"/>
    <n v="287.88"/>
    <x v="1"/>
  </r>
  <r>
    <x v="4"/>
    <x v="1"/>
    <n v="51.818399999999997"/>
    <x v="1"/>
  </r>
  <r>
    <x v="4"/>
    <x v="2"/>
    <n v="339.69839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FEC30-8DA4-4DC1-84FA-8CE1FA59F330}" name="TD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B12:F17" firstHeaderRow="1" firstDataRow="2" firstDataCol="1"/>
  <pivotFields count="11">
    <pivotField numFmtId="1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showAll="0"/>
    <pivotField showAll="0"/>
    <pivotField showAll="0"/>
    <pivotField axis="axisRow" showAll="0">
      <items count="6">
        <item x="2"/>
        <item h="1" x="3"/>
        <item x="1"/>
        <item h="1" x="0"/>
        <item x="4"/>
        <item t="default"/>
      </items>
    </pivotField>
    <pivotField showAll="0"/>
    <pivotField axis="axisCol" showAll="0">
      <items count="6">
        <item h="1" x="3"/>
        <item x="0"/>
        <item h="1" x="1"/>
        <item x="4"/>
        <item x="2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4">
    <i>
      <x/>
    </i>
    <i>
      <x v="2"/>
    </i>
    <i>
      <x v="4"/>
    </i>
    <i t="grand">
      <x/>
    </i>
  </rowItems>
  <colFields count="1">
    <field x="6"/>
  </colFields>
  <colItems count="4">
    <i>
      <x v="1"/>
    </i>
    <i>
      <x v="3"/>
    </i>
    <i>
      <x v="4"/>
    </i>
    <i t="grand">
      <x/>
    </i>
  </colItems>
  <dataFields count="1">
    <dataField name="Suma de Tdolares" fld="10" baseField="0" baseItem="0" numFmtId="172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0" type="dateBetween" evalOrder="-1" id="6" name="FECH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59542-E8D2-44CB-9932-A5C57A865D6E}" name="TD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B12:E25" firstHeaderRow="1" firstDataRow="2" firstDataCol="1" rowPageCount="1" colPageCount="1"/>
  <pivotFields count="12">
    <pivotField numFmtId="1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showAll="0"/>
    <pivotField showAll="0"/>
    <pivotField showAll="0"/>
    <pivotField axis="axisCol" showAll="0">
      <items count="6">
        <item h="1" x="2"/>
        <item x="3"/>
        <item h="1" x="1"/>
        <item x="0"/>
        <item h="1" x="4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6">
        <item x="3"/>
        <item h="1" x="0"/>
        <item x="1"/>
        <item h="1" x="4"/>
        <item h="1"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11"/>
  </rowFields>
  <rowItems count="12">
    <i>
      <x/>
    </i>
    <i r="1">
      <x v="1"/>
    </i>
    <i r="1">
      <x v="2"/>
    </i>
    <i r="1">
      <x v="3"/>
    </i>
    <i r="1">
      <x v="5"/>
    </i>
    <i r="1">
      <x v="6"/>
    </i>
    <i>
      <x v="2"/>
    </i>
    <i r="1">
      <x v="1"/>
    </i>
    <i r="1">
      <x v="3"/>
    </i>
    <i r="1">
      <x v="4"/>
    </i>
    <i r="1">
      <x v="6"/>
    </i>
    <i t="grand">
      <x/>
    </i>
  </rowItems>
  <colFields count="1">
    <field x="4"/>
  </colFields>
  <colItems count="3">
    <i>
      <x v="1"/>
    </i>
    <i>
      <x v="3"/>
    </i>
    <i t="grand">
      <x/>
    </i>
  </colItems>
  <pageFields count="1">
    <pageField fld="5" hier="-1"/>
  </pageFields>
  <dataFields count="1">
    <dataField name="Suma de TOTAL" fld="9" baseField="0" baseItem="0" numFmtId="173"/>
  </dataFields>
  <chartFormats count="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Dark10" showRowHeaders="1" showColHeaders="1" showRowStripes="0" showColStripes="0" showLastColumn="1"/>
  <filters count="1">
    <filter fld="0" type="dateBetween" evalOrder="-1" id="8" name="FECHA">
      <autoFilter ref="A1">
        <filterColumn colId="0">
          <customFilters and="1">
            <customFilter operator="greaterThanOrEqual" val="43831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59542-E8D2-44CB-9932-A5C57A865D6E}" name="TablaDiná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A3:D15" firstHeaderRow="1" firstDataRow="2" firstDataCol="1" rowPageCount="1" colPageCount="1"/>
  <pivotFields count="12">
    <pivotField numFmtId="1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showAll="0"/>
    <pivotField showAll="0"/>
    <pivotField showAll="0"/>
    <pivotField axis="axisCol" showAll="0">
      <items count="6">
        <item h="1" x="2"/>
        <item x="3"/>
        <item h="1" x="1"/>
        <item x="0"/>
        <item h="1" x="4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6">
        <item x="3"/>
        <item h="1" x="0"/>
        <item x="1"/>
        <item h="1" x="4"/>
        <item h="1"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11"/>
  </rowFields>
  <rowItems count="11">
    <i>
      <x/>
    </i>
    <i r="1">
      <x v="1"/>
    </i>
    <i r="1">
      <x v="2"/>
    </i>
    <i r="1">
      <x v="3"/>
    </i>
    <i r="1">
      <x v="5"/>
    </i>
    <i r="1">
      <x v="6"/>
    </i>
    <i>
      <x v="2"/>
    </i>
    <i r="1">
      <x v="1"/>
    </i>
    <i r="1">
      <x v="3"/>
    </i>
    <i r="1">
      <x v="4"/>
    </i>
    <i t="grand">
      <x/>
    </i>
  </rowItems>
  <colFields count="1">
    <field x="4"/>
  </colFields>
  <colItems count="3">
    <i>
      <x v="1"/>
    </i>
    <i>
      <x v="3"/>
    </i>
    <i t="grand">
      <x/>
    </i>
  </colItems>
  <pageFields count="1">
    <pageField fld="5" item="0" hier="-1"/>
  </pageFields>
  <dataFields count="1">
    <dataField name="Suma de TOTAL" fld="9" baseField="0" baseItem="0" numFmtId="173"/>
  </dataFields>
  <chartFormats count="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Dark10" showRowHeaders="1" showColHeaders="1" showRowStripes="0" showColStripes="0" showLastColumn="1"/>
  <filters count="1">
    <filter fld="0" type="dateBetween" evalOrder="-1" id="8" name="FECHA">
      <autoFilter ref="A1">
        <filterColumn colId="0">
          <customFilters and="1">
            <customFilter operator="greaterThanOrEqual" val="43831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59542-E8D2-44CB-9932-A5C57A865D6E}" name="TablaDiná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A3:D16" firstHeaderRow="1" firstDataRow="2" firstDataCol="1" rowPageCount="1" colPageCount="1"/>
  <pivotFields count="12">
    <pivotField numFmtId="1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showAll="0"/>
    <pivotField showAll="0"/>
    <pivotField showAll="0"/>
    <pivotField axis="axisCol" showAll="0">
      <items count="6">
        <item h="1" x="2"/>
        <item x="3"/>
        <item h="1" x="1"/>
        <item x="0"/>
        <item h="1" x="4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6">
        <item x="3"/>
        <item h="1" x="0"/>
        <item x="1"/>
        <item h="1" x="4"/>
        <item h="1"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11"/>
  </rowFields>
  <rowItems count="12">
    <i>
      <x/>
    </i>
    <i r="1">
      <x v="1"/>
    </i>
    <i r="1">
      <x v="2"/>
    </i>
    <i r="1">
      <x v="3"/>
    </i>
    <i r="1">
      <x v="5"/>
    </i>
    <i r="1">
      <x v="6"/>
    </i>
    <i>
      <x v="2"/>
    </i>
    <i r="1">
      <x v="1"/>
    </i>
    <i r="1">
      <x v="3"/>
    </i>
    <i r="1">
      <x v="4"/>
    </i>
    <i r="1">
      <x v="6"/>
    </i>
    <i t="grand">
      <x/>
    </i>
  </rowItems>
  <colFields count="1">
    <field x="4"/>
  </colFields>
  <colItems count="3">
    <i>
      <x v="1"/>
    </i>
    <i>
      <x v="3"/>
    </i>
    <i t="grand">
      <x/>
    </i>
  </colItems>
  <pageFields count="1">
    <pageField fld="5" item="1" hier="-1"/>
  </pageFields>
  <dataFields count="1">
    <dataField name="Suma de TOTAL" fld="9" baseField="0" baseItem="0" numFmtId="173"/>
  </dataFields>
  <chartFormats count="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Dark10" showRowHeaders="1" showColHeaders="1" showRowStripes="0" showColStripes="0" showLastColumn="1"/>
  <filters count="1">
    <filter fld="0" type="dateBetween" evalOrder="-1" id="8" name="FECHA">
      <autoFilter ref="A1">
        <filterColumn colId="0">
          <customFilters and="1">
            <customFilter operator="greaterThanOrEqual" val="43831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1821F-A249-44BC-830E-B7469F630502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PRESENTANTE" colHeaderCaption="">
  <location ref="K6:O13" firstHeaderRow="1" firstDataRow="2" firstDataCol="1" rowPageCount="1" colPageCount="1"/>
  <pivotFields count="4">
    <pivotField name="REPRESENTANTE" axis="axisRow" showAll="0">
      <items count="6">
        <item x="0"/>
        <item x="2"/>
        <item x="1"/>
        <item x="4"/>
        <item x="3"/>
        <item t="default"/>
      </items>
    </pivotField>
    <pivotField name="CONCEPTO" axis="axisCol" showAll="0">
      <items count="4">
        <item x="1"/>
        <item x="0"/>
        <item x="2"/>
        <item t="default"/>
      </items>
    </pivotField>
    <pivotField dataField="1" showAll="0"/>
    <pivotField name="SEXO" axis="axisPage"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Suma de Valor" fld="2" baseField="0" baseItem="0" numFmtId="173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218D87E7-02FF-46DF-90BF-E7935C39E31A}" sourceName="REGION">
  <pivotTables>
    <pivotTable tabId="31" name="TD1"/>
  </pivotTables>
  <data>
    <tabular pivotCacheId="838155090">
      <items count="5">
        <i x="2" s="1"/>
        <i x="3"/>
        <i x="1" s="1"/>
        <i x="0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PRESENTANTE" xr10:uid="{125A7AB0-F56B-41DF-951F-896ADC7F885D}" sourceName="REPRESENTANTE">
  <pivotTables>
    <pivotTable tabId="31" name="TD1"/>
  </pivotTables>
  <data>
    <tabular pivotCacheId="838155090">
      <items count="5">
        <i x="3"/>
        <i x="0" s="1"/>
        <i x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94393555-3973-4CCE-9F43-06737293E1A9}" sourceName="REGION">
  <pivotTables>
    <pivotTable tabId="32" name="TD2"/>
  </pivotTables>
  <data>
    <tabular pivotCacheId="1704076887">
      <items count="5">
        <i x="3" s="1"/>
        <i x="1"/>
        <i x="0" s="1"/>
        <i x="4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PRESENTANTE1" xr10:uid="{C14B0830-C100-425B-93DF-E73F73BF66DE}" sourceName="REPRESENTANTE">
  <pivotTables>
    <pivotTable tabId="32" name="TD2"/>
  </pivotTables>
  <data>
    <tabular pivotCacheId="1704076887">
      <items count="5">
        <i x="3" s="1"/>
        <i x="0"/>
        <i x="1" s="1"/>
        <i x="4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4F8A2B40-7CC5-4D10-B9DF-804B3C69A617}" cache="SegmentaciónDeDatos_REGION" caption="REGION" columnCount="2" style="SlicerStyleDark2" rowHeight="234950"/>
  <slicer name="REPRESENTANTE" xr10:uid="{8AAC8AEC-8F6B-40AE-A45C-9E7EEFA875EC}" cache="SegmentaciónDeDatos_REPRESENTANTE" caption="REPRESENTANTE" columnCount="2" style="SlicerStyleDark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431D42C1-4166-438D-BB33-190E9C180991}" cache="SegmentaciónDeDatos_REGION1" caption="REGION" columnCount="2" style="SlicerStyleDark6" rowHeight="234950"/>
  <slicer name="REPRESENTANTE 1" xr10:uid="{27935839-2CD5-4CED-83D3-21F25401BFF2}" cache="SegmentaciónDeDatos_REPRESENTANTE1" caption="REPRESENTANTE" columnCount="2" style="SlicerStyleDark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120D4-DF9A-4972-A1A2-501C744C270E}" name="TablaBase" displayName="TablaBase" ref="A9:J258" totalsRowShown="0" headerRowDxfId="24">
  <autoFilter ref="A9:J258" xr:uid="{AFC120D4-DF9A-4972-A1A2-501C744C270E}"/>
  <tableColumns count="10">
    <tableColumn id="1" xr3:uid="{05737FD5-82CD-4BEE-8097-3BA1A6790E5B}" name="FECHA" dataDxfId="23"/>
    <tableColumn id="2" xr3:uid="{C372C656-AFA7-47DA-BA1B-62A23C14C772}" name="FACTURA"/>
    <tableColumn id="3" xr3:uid="{5619C8F2-2531-4A87-BC8F-60F02A857C79}" name="RUC" dataDxfId="22"/>
    <tableColumn id="4" xr3:uid="{84B400C7-8ED9-4EB4-921B-1BAF4637403F}" name="CLIENTES"/>
    <tableColumn id="5" xr3:uid="{66ED5318-12F6-4404-B685-CA29C929743D}" name="REGION"/>
    <tableColumn id="6" xr3:uid="{7D07F32D-A054-443D-AA4A-589C856EB3C7}" name="LINEA"/>
    <tableColumn id="7" xr3:uid="{76D18A97-4491-485B-9571-07D1A5EF3E40}" name="REPRESENTANTE"/>
    <tableColumn id="8" xr3:uid="{66795DD3-8B9C-4869-A932-7B894E827823}" name="IMPORTE"/>
    <tableColumn id="9" xr3:uid="{6CADFDC0-B1BB-4D84-9EC6-454015638DDC}" name="IGV"/>
    <tableColumn id="10" xr3:uid="{337D9305-4703-4FF9-A571-F97F9B5482F1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G306" totalsRowShown="0" headerRowDxfId="21" dataDxfId="19" headerRowBorderDxfId="20" tableBorderDxfId="18" totalsRowBorderDxfId="17">
  <autoFilter ref="A7:G306" xr:uid="{00000000-000C-0000-FFFF-FFFF00000000}"/>
  <sortState xmlns:xlrd2="http://schemas.microsoft.com/office/spreadsheetml/2017/richdata2" ref="A8:G306">
    <sortCondition descending="1" ref="D11:D306"/>
  </sortState>
  <tableColumns count="7">
    <tableColumn id="1" xr3:uid="{00000000-0010-0000-0000-000001000000}" name="Apellido Paterno" dataDxfId="16"/>
    <tableColumn id="2" xr3:uid="{00000000-0010-0000-0000-000002000000}" name="Nombre" dataDxfId="15"/>
    <tableColumn id="3" xr3:uid="{00000000-0010-0000-0000-000003000000}" name="Distrito" dataDxfId="14"/>
    <tableColumn id="4" xr3:uid="{00000000-0010-0000-0000-000004000000}" name="Ingreso 1" dataDxfId="13"/>
    <tableColumn id="5" xr3:uid="{00000000-0010-0000-0000-000005000000}" name="Ingreso 2" dataDxfId="12"/>
    <tableColumn id="6" xr3:uid="{00000000-0010-0000-0000-000006000000}" name="Ingreso 3" dataDxfId="11"/>
    <tableColumn id="7" xr3:uid="{00000000-0010-0000-0000-000007000000}" name="Departamento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3:G47" totalsRowShown="0" headerRowDxfId="9">
  <autoFilter ref="B3:G47" xr:uid="{00000000-0009-0000-0100-000002000000}"/>
  <tableColumns count="6">
    <tableColumn id="1" xr3:uid="{00000000-0010-0000-0100-000001000000}" name="Código"/>
    <tableColumn id="2" xr3:uid="{00000000-0010-0000-0100-000002000000}" name="Vehículo"/>
    <tableColumn id="3" xr3:uid="{00000000-0010-0000-0100-000003000000}" name="Departamento"/>
    <tableColumn id="4" xr3:uid="{00000000-0010-0000-0100-000004000000}" name="Zona"/>
    <tableColumn id="5" xr3:uid="{00000000-0010-0000-0100-000005000000}" name="Cantidad"/>
    <tableColumn id="6" xr3:uid="{00000000-0010-0000-0100-000006000000}" name="Mont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A8CF6DFE-9F38-44D8-8CC6-D29FC76CDC89}" sourceName="FECHA">
  <pivotTables>
    <pivotTable tabId="31" name="TD1"/>
  </pivotTables>
  <state minimalRefreshVersion="6" lastRefreshVersion="6" pivotCacheId="838155090" filterType="dateBetween">
    <selection startDate="2020-01-01T00:00:00" endDate="2020-12-31T00:00:00"/>
    <bounds startDate="2020-01-01T00:00:00" endDate="2021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86A20015-6B71-4389-B9EB-2294E95DFE3E}" sourceName="FECHA">
  <pivotTables>
    <pivotTable tabId="32" name="TD2"/>
  </pivotTables>
  <state minimalRefreshVersion="6" lastRefreshVersion="6" pivotCacheId="1704076887" filterType="dateBetween">
    <selection startDate="2020-01-01T00:00:00" endDate="2020-06-30T00:00:00"/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77166889-3CE1-4499-81D9-6B4219EB30CF}" cache="NativeTimeline_FECHA" caption="FECHA" level="2" selectionLevel="0" scrollPosition="2020-01-01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CC986E1A-F939-4DAB-AE6A-1070C5809268}" cache="NativeTimeline_FECHA1" caption="FECHA" level="2" selectionLevel="1" scrollPosition="2020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MARENA/Desktop/ALESSANDRO/EXCEL%20ALESSANDRO_CELDEP/CLASE_ENE_2021/PRACTICA7_AVANZADO1/PRACTICA7_AVANZADO1.xlsx" TargetMode="External"/><Relationship Id="rId2" Type="http://schemas.openxmlformats.org/officeDocument/2006/relationships/externalLinkPath" Target="/Users/CAMARENA/Desktop/ALESSANDRO/EXCEL%20ALESSANDRO_CELDEP/CLASE_ENE_2021/PRACTICA7_AVANZADO1/PRACTICA7_AVANZADO1.xlsx" TargetMode="External"/><Relationship Id="rId1" Type="http://schemas.openxmlformats.org/officeDocument/2006/relationships/externalLinkPath" Target="/Users/CAMARENA/Desktop/ALESSANDRO/EXCEL%20ALESSANDRO_CELDEP/CLASE_ENE_2021/PRACTICA7_AVANZADO1/PRACTICA7_AVANZADO1.xlsx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BF2F-0291-4980-A8E3-70778642DFB9}">
  <dimension ref="A1:J11"/>
  <sheetViews>
    <sheetView workbookViewId="0">
      <selection activeCell="D14" sqref="D14"/>
    </sheetView>
  </sheetViews>
  <sheetFormatPr baseColWidth="10" defaultRowHeight="14.4" x14ac:dyDescent="0.3"/>
  <cols>
    <col min="1" max="1" width="14.88671875" customWidth="1"/>
    <col min="2" max="2" width="13.44140625" customWidth="1"/>
  </cols>
  <sheetData>
    <row r="1" spans="1:10" ht="19.8" x14ac:dyDescent="0.3">
      <c r="A1" s="131" t="s">
        <v>960</v>
      </c>
      <c r="B1" s="131"/>
      <c r="C1" s="131"/>
      <c r="D1" s="131"/>
      <c r="E1" s="131"/>
      <c r="F1" s="131"/>
      <c r="G1" s="131"/>
      <c r="H1" s="131"/>
      <c r="I1" s="131"/>
      <c r="J1" s="1"/>
    </row>
    <row r="2" spans="1:10" ht="18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8.600000000000001" thickBot="1" x14ac:dyDescent="0.4">
      <c r="A3" s="61" t="s">
        <v>675</v>
      </c>
      <c r="B3" s="3"/>
      <c r="C3" s="3"/>
      <c r="D3" s="3"/>
      <c r="E3" s="3"/>
      <c r="F3" s="3"/>
      <c r="G3" s="3"/>
      <c r="H3" s="3"/>
      <c r="I3" s="3"/>
      <c r="J3" s="3"/>
    </row>
    <row r="6" spans="1:10" x14ac:dyDescent="0.3">
      <c r="B6" s="4" t="s">
        <v>676</v>
      </c>
      <c r="D6" s="6" t="s">
        <v>677</v>
      </c>
    </row>
    <row r="8" spans="1:10" x14ac:dyDescent="0.3">
      <c r="A8">
        <v>1</v>
      </c>
      <c r="B8" s="68" t="s">
        <v>678</v>
      </c>
    </row>
    <row r="9" spans="1:10" x14ac:dyDescent="0.3">
      <c r="B9" t="s">
        <v>1026</v>
      </c>
    </row>
    <row r="10" spans="1:10" x14ac:dyDescent="0.3">
      <c r="A10">
        <v>2</v>
      </c>
      <c r="B10" s="68" t="s">
        <v>679</v>
      </c>
    </row>
    <row r="11" spans="1:10" x14ac:dyDescent="0.3">
      <c r="B11" t="s">
        <v>1027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A633-4B71-4163-9EF8-EC2067BDE3A9}">
  <dimension ref="A9:J258"/>
  <sheetViews>
    <sheetView topLeftCell="A232" workbookViewId="0">
      <selection activeCell="A9" sqref="A9:J258"/>
    </sheetView>
  </sheetViews>
  <sheetFormatPr baseColWidth="10" defaultRowHeight="14.4" x14ac:dyDescent="0.3"/>
  <cols>
    <col min="2" max="2" width="12" bestFit="1" customWidth="1"/>
    <col min="3" max="3" width="16.6640625" customWidth="1"/>
    <col min="4" max="4" width="46.6640625" bestFit="1" customWidth="1"/>
    <col min="6" max="6" width="15.88671875" customWidth="1"/>
    <col min="7" max="7" width="17.109375" customWidth="1"/>
  </cols>
  <sheetData>
    <row r="9" spans="1:10" x14ac:dyDescent="0.3">
      <c r="A9" s="4" t="s">
        <v>680</v>
      </c>
      <c r="B9" s="4" t="s">
        <v>681</v>
      </c>
      <c r="C9" s="4" t="s">
        <v>682</v>
      </c>
      <c r="D9" s="4" t="s">
        <v>683</v>
      </c>
      <c r="E9" s="4" t="s">
        <v>684</v>
      </c>
      <c r="F9" s="4" t="s">
        <v>685</v>
      </c>
      <c r="G9" s="4" t="s">
        <v>663</v>
      </c>
      <c r="H9" s="4" t="s">
        <v>664</v>
      </c>
      <c r="I9" s="4" t="s">
        <v>665</v>
      </c>
      <c r="J9" s="4" t="s">
        <v>0</v>
      </c>
    </row>
    <row r="10" spans="1:10" x14ac:dyDescent="0.3">
      <c r="A10" s="69">
        <v>43831</v>
      </c>
      <c r="B10" t="s">
        <v>686</v>
      </c>
      <c r="C10" s="70">
        <v>20160641810</v>
      </c>
      <c r="D10" t="s">
        <v>687</v>
      </c>
      <c r="E10" t="s">
        <v>688</v>
      </c>
      <c r="F10" t="s">
        <v>689</v>
      </c>
      <c r="G10" t="s">
        <v>666</v>
      </c>
      <c r="H10">
        <v>7551</v>
      </c>
      <c r="I10">
        <v>1359.1800000000003</v>
      </c>
      <c r="J10">
        <v>8910.18</v>
      </c>
    </row>
    <row r="11" spans="1:10" x14ac:dyDescent="0.3">
      <c r="A11" s="69">
        <v>43832</v>
      </c>
      <c r="B11" t="s">
        <v>690</v>
      </c>
      <c r="C11" s="70">
        <v>20390473142</v>
      </c>
      <c r="D11" t="s">
        <v>691</v>
      </c>
      <c r="E11" t="s">
        <v>692</v>
      </c>
      <c r="F11" t="s">
        <v>689</v>
      </c>
      <c r="G11" t="s">
        <v>667</v>
      </c>
      <c r="H11">
        <v>5000</v>
      </c>
      <c r="I11">
        <v>900</v>
      </c>
      <c r="J11">
        <v>5900</v>
      </c>
    </row>
    <row r="12" spans="1:10" x14ac:dyDescent="0.3">
      <c r="A12" s="69">
        <v>43833</v>
      </c>
      <c r="B12" t="s">
        <v>693</v>
      </c>
      <c r="C12" s="70">
        <v>20100128994</v>
      </c>
      <c r="D12" t="s">
        <v>694</v>
      </c>
      <c r="E12" t="s">
        <v>695</v>
      </c>
      <c r="F12" t="s">
        <v>689</v>
      </c>
      <c r="G12" t="s">
        <v>668</v>
      </c>
      <c r="H12">
        <v>1119.9000000000001</v>
      </c>
      <c r="I12">
        <v>201.58199999999988</v>
      </c>
      <c r="J12">
        <v>1321.482</v>
      </c>
    </row>
    <row r="13" spans="1:10" x14ac:dyDescent="0.3">
      <c r="A13" s="69">
        <v>43834</v>
      </c>
      <c r="B13" t="s">
        <v>696</v>
      </c>
      <c r="C13" s="70">
        <v>20100562848</v>
      </c>
      <c r="D13" t="s">
        <v>697</v>
      </c>
      <c r="E13" t="s">
        <v>698</v>
      </c>
      <c r="F13" t="s">
        <v>689</v>
      </c>
      <c r="G13" t="s">
        <v>667</v>
      </c>
      <c r="H13">
        <v>96913</v>
      </c>
      <c r="I13">
        <v>17444.339999999997</v>
      </c>
      <c r="J13">
        <v>114357.34</v>
      </c>
    </row>
    <row r="14" spans="1:10" x14ac:dyDescent="0.3">
      <c r="A14" s="69">
        <v>43835</v>
      </c>
      <c r="B14" t="s">
        <v>699</v>
      </c>
      <c r="C14" s="70">
        <v>20377444257</v>
      </c>
      <c r="D14" t="s">
        <v>700</v>
      </c>
      <c r="E14" t="s">
        <v>692</v>
      </c>
      <c r="F14" t="s">
        <v>689</v>
      </c>
      <c r="G14" t="s">
        <v>669</v>
      </c>
      <c r="H14">
        <v>1176</v>
      </c>
      <c r="I14">
        <v>211.67999999999984</v>
      </c>
      <c r="J14">
        <v>1387.6799999999998</v>
      </c>
    </row>
    <row r="15" spans="1:10" x14ac:dyDescent="0.3">
      <c r="A15" s="69">
        <v>43836</v>
      </c>
      <c r="B15" t="s">
        <v>701</v>
      </c>
      <c r="C15" s="70">
        <v>20266352337</v>
      </c>
      <c r="D15" t="s">
        <v>702</v>
      </c>
      <c r="E15" t="s">
        <v>688</v>
      </c>
      <c r="F15" t="s">
        <v>703</v>
      </c>
      <c r="G15" t="s">
        <v>667</v>
      </c>
      <c r="H15">
        <v>1101.2</v>
      </c>
      <c r="I15">
        <v>198.21599999999989</v>
      </c>
      <c r="J15">
        <v>1299.4159999999999</v>
      </c>
    </row>
    <row r="16" spans="1:10" x14ac:dyDescent="0.3">
      <c r="A16" s="69">
        <v>43837</v>
      </c>
      <c r="B16" t="s">
        <v>704</v>
      </c>
      <c r="C16" s="70">
        <v>20258886420</v>
      </c>
      <c r="D16" t="s">
        <v>705</v>
      </c>
      <c r="E16" t="s">
        <v>706</v>
      </c>
      <c r="F16" t="s">
        <v>703</v>
      </c>
      <c r="G16" t="s">
        <v>667</v>
      </c>
      <c r="H16">
        <v>5023</v>
      </c>
      <c r="I16">
        <v>904.13999999999942</v>
      </c>
      <c r="J16">
        <v>5927.1399999999994</v>
      </c>
    </row>
    <row r="17" spans="1:10" x14ac:dyDescent="0.3">
      <c r="A17" s="69">
        <v>43838</v>
      </c>
      <c r="B17" t="s">
        <v>707</v>
      </c>
      <c r="C17" s="70">
        <v>20100051240</v>
      </c>
      <c r="D17" t="s">
        <v>708</v>
      </c>
      <c r="E17" t="s">
        <v>692</v>
      </c>
      <c r="F17" t="s">
        <v>689</v>
      </c>
      <c r="G17" t="s">
        <v>669</v>
      </c>
      <c r="H17">
        <v>613.20000000000005</v>
      </c>
      <c r="I17">
        <v>110.37599999999998</v>
      </c>
      <c r="J17">
        <v>723.57600000000002</v>
      </c>
    </row>
    <row r="18" spans="1:10" x14ac:dyDescent="0.3">
      <c r="A18" s="69">
        <v>43839</v>
      </c>
      <c r="B18" t="s">
        <v>709</v>
      </c>
      <c r="C18" s="70">
        <v>20418141281</v>
      </c>
      <c r="D18" t="s">
        <v>710</v>
      </c>
      <c r="E18" t="s">
        <v>698</v>
      </c>
      <c r="F18" t="s">
        <v>689</v>
      </c>
      <c r="G18" t="s">
        <v>667</v>
      </c>
      <c r="H18">
        <v>2169</v>
      </c>
      <c r="I18">
        <v>390.42000000000007</v>
      </c>
      <c r="J18">
        <v>2559.42</v>
      </c>
    </row>
    <row r="19" spans="1:10" x14ac:dyDescent="0.3">
      <c r="A19" s="69">
        <v>43840</v>
      </c>
      <c r="B19" t="s">
        <v>711</v>
      </c>
      <c r="C19" s="70">
        <v>20122263143</v>
      </c>
      <c r="D19" t="s">
        <v>712</v>
      </c>
      <c r="E19" t="s">
        <v>692</v>
      </c>
      <c r="F19" t="s">
        <v>689</v>
      </c>
      <c r="G19" t="s">
        <v>667</v>
      </c>
      <c r="H19">
        <v>2500.9</v>
      </c>
      <c r="I19">
        <v>450.16199999999981</v>
      </c>
      <c r="J19">
        <v>2951.0619999999999</v>
      </c>
    </row>
    <row r="20" spans="1:10" x14ac:dyDescent="0.3">
      <c r="A20" s="69">
        <v>43841</v>
      </c>
      <c r="B20" t="s">
        <v>713</v>
      </c>
      <c r="C20" s="70">
        <v>20101362702</v>
      </c>
      <c r="D20" t="s">
        <v>714</v>
      </c>
      <c r="E20" t="s">
        <v>698</v>
      </c>
      <c r="F20" t="s">
        <v>703</v>
      </c>
      <c r="G20" t="s">
        <v>667</v>
      </c>
      <c r="H20">
        <v>500</v>
      </c>
      <c r="I20">
        <v>90</v>
      </c>
      <c r="J20">
        <v>590</v>
      </c>
    </row>
    <row r="21" spans="1:10" x14ac:dyDescent="0.3">
      <c r="A21" s="69">
        <v>43842</v>
      </c>
      <c r="B21" t="s">
        <v>715</v>
      </c>
      <c r="C21" s="70">
        <v>20330011930</v>
      </c>
      <c r="D21" t="s">
        <v>716</v>
      </c>
      <c r="E21" t="s">
        <v>698</v>
      </c>
      <c r="F21" t="s">
        <v>703</v>
      </c>
      <c r="G21" t="s">
        <v>667</v>
      </c>
      <c r="H21">
        <v>268.8</v>
      </c>
      <c r="I21">
        <v>48.383999999999958</v>
      </c>
      <c r="J21">
        <v>317.18399999999997</v>
      </c>
    </row>
    <row r="22" spans="1:10" x14ac:dyDescent="0.3">
      <c r="A22" s="69">
        <v>43843</v>
      </c>
      <c r="B22" t="s">
        <v>717</v>
      </c>
      <c r="C22" s="70">
        <v>20100134455</v>
      </c>
      <c r="D22" t="s">
        <v>718</v>
      </c>
      <c r="E22" t="s">
        <v>698</v>
      </c>
      <c r="F22" t="s">
        <v>689</v>
      </c>
      <c r="G22" t="s">
        <v>669</v>
      </c>
      <c r="H22">
        <v>1614.8</v>
      </c>
      <c r="I22">
        <v>290.66399999999999</v>
      </c>
      <c r="J22">
        <v>1905.4639999999999</v>
      </c>
    </row>
    <row r="23" spans="1:10" x14ac:dyDescent="0.3">
      <c r="A23" s="69">
        <v>43844</v>
      </c>
      <c r="B23" t="s">
        <v>719</v>
      </c>
      <c r="C23" s="70">
        <v>20100073723</v>
      </c>
      <c r="D23" t="s">
        <v>720</v>
      </c>
      <c r="E23" t="s">
        <v>698</v>
      </c>
      <c r="F23" t="s">
        <v>703</v>
      </c>
      <c r="G23" t="s">
        <v>669</v>
      </c>
      <c r="H23">
        <v>1810</v>
      </c>
      <c r="I23">
        <v>325.79999999999973</v>
      </c>
      <c r="J23">
        <v>2135.7999999999997</v>
      </c>
    </row>
    <row r="24" spans="1:10" x14ac:dyDescent="0.3">
      <c r="A24" s="69">
        <v>43845</v>
      </c>
      <c r="B24" t="s">
        <v>721</v>
      </c>
      <c r="C24" s="70">
        <v>20305354563</v>
      </c>
      <c r="D24" t="s">
        <v>722</v>
      </c>
      <c r="E24" t="s">
        <v>692</v>
      </c>
      <c r="F24" t="s">
        <v>689</v>
      </c>
      <c r="G24" t="s">
        <v>666</v>
      </c>
      <c r="H24">
        <v>88.5</v>
      </c>
      <c r="I24">
        <v>15.929999999999993</v>
      </c>
      <c r="J24">
        <v>104.42999999999999</v>
      </c>
    </row>
    <row r="25" spans="1:10" x14ac:dyDescent="0.3">
      <c r="A25" s="69">
        <v>43846</v>
      </c>
      <c r="B25" t="s">
        <v>723</v>
      </c>
      <c r="C25" s="70">
        <v>20101908781</v>
      </c>
      <c r="D25" t="s">
        <v>724</v>
      </c>
      <c r="E25" t="s">
        <v>692</v>
      </c>
      <c r="F25" t="s">
        <v>703</v>
      </c>
      <c r="G25" t="s">
        <v>667</v>
      </c>
      <c r="H25">
        <v>2436.1799999999998</v>
      </c>
      <c r="I25">
        <v>438.51239999999962</v>
      </c>
      <c r="J25">
        <v>2874.6923999999995</v>
      </c>
    </row>
    <row r="26" spans="1:10" x14ac:dyDescent="0.3">
      <c r="A26" s="69">
        <v>43847</v>
      </c>
      <c r="B26" t="s">
        <v>725</v>
      </c>
      <c r="C26" s="70">
        <v>20102154046</v>
      </c>
      <c r="D26" t="s">
        <v>726</v>
      </c>
      <c r="E26" t="s">
        <v>698</v>
      </c>
      <c r="F26" t="s">
        <v>689</v>
      </c>
      <c r="G26" t="s">
        <v>667</v>
      </c>
      <c r="H26">
        <v>5398.73</v>
      </c>
      <c r="I26">
        <v>971.77139999999963</v>
      </c>
      <c r="J26">
        <v>6370.5013999999992</v>
      </c>
    </row>
    <row r="27" spans="1:10" x14ac:dyDescent="0.3">
      <c r="A27" s="69">
        <v>43848</v>
      </c>
      <c r="B27" t="s">
        <v>727</v>
      </c>
      <c r="C27" s="70">
        <v>20297687655</v>
      </c>
      <c r="D27" t="s">
        <v>728</v>
      </c>
      <c r="E27" t="s">
        <v>688</v>
      </c>
      <c r="F27" t="s">
        <v>703</v>
      </c>
      <c r="G27" t="s">
        <v>666</v>
      </c>
      <c r="H27">
        <v>136.30000000000001</v>
      </c>
      <c r="I27">
        <v>24.533999999999992</v>
      </c>
      <c r="J27">
        <v>160.834</v>
      </c>
    </row>
    <row r="28" spans="1:10" x14ac:dyDescent="0.3">
      <c r="A28" s="69">
        <v>43849</v>
      </c>
      <c r="B28" t="s">
        <v>729</v>
      </c>
      <c r="C28" s="70">
        <v>20100067596</v>
      </c>
      <c r="D28" t="s">
        <v>730</v>
      </c>
      <c r="E28" t="s">
        <v>692</v>
      </c>
      <c r="F28" t="s">
        <v>689</v>
      </c>
      <c r="G28" t="s">
        <v>666</v>
      </c>
      <c r="H28">
        <v>1549.6</v>
      </c>
      <c r="I28">
        <v>278.92799999999988</v>
      </c>
      <c r="J28">
        <v>1828.5279999999998</v>
      </c>
    </row>
    <row r="29" spans="1:10" x14ac:dyDescent="0.3">
      <c r="A29" s="69">
        <v>43850</v>
      </c>
      <c r="B29" t="s">
        <v>731</v>
      </c>
      <c r="C29" s="70">
        <v>20101067379</v>
      </c>
      <c r="D29" t="s">
        <v>732</v>
      </c>
      <c r="E29" t="s">
        <v>698</v>
      </c>
      <c r="F29" t="s">
        <v>703</v>
      </c>
      <c r="G29" t="s">
        <v>667</v>
      </c>
      <c r="H29">
        <v>950</v>
      </c>
      <c r="I29">
        <v>171</v>
      </c>
      <c r="J29">
        <v>1121</v>
      </c>
    </row>
    <row r="30" spans="1:10" x14ac:dyDescent="0.3">
      <c r="A30" s="69">
        <v>43851</v>
      </c>
      <c r="B30" t="s">
        <v>733</v>
      </c>
      <c r="C30" s="70">
        <v>20100136661</v>
      </c>
      <c r="D30" t="s">
        <v>734</v>
      </c>
      <c r="E30" t="s">
        <v>692</v>
      </c>
      <c r="F30" t="s">
        <v>703</v>
      </c>
      <c r="G30" t="s">
        <v>666</v>
      </c>
      <c r="H30">
        <v>403.2</v>
      </c>
      <c r="I30">
        <v>72.575999999999965</v>
      </c>
      <c r="J30">
        <v>475.77599999999995</v>
      </c>
    </row>
    <row r="31" spans="1:10" x14ac:dyDescent="0.3">
      <c r="A31" s="69">
        <v>43852</v>
      </c>
      <c r="B31" t="s">
        <v>735</v>
      </c>
      <c r="C31" s="70">
        <v>20263674929</v>
      </c>
      <c r="D31" t="s">
        <v>736</v>
      </c>
      <c r="E31" t="s">
        <v>698</v>
      </c>
      <c r="F31" t="s">
        <v>689</v>
      </c>
      <c r="G31" t="s">
        <v>669</v>
      </c>
      <c r="H31">
        <v>1689.78</v>
      </c>
      <c r="I31">
        <v>304.16039999999998</v>
      </c>
      <c r="J31">
        <v>1993.9404</v>
      </c>
    </row>
    <row r="32" spans="1:10" x14ac:dyDescent="0.3">
      <c r="A32" s="69">
        <v>43853</v>
      </c>
      <c r="B32" t="s">
        <v>737</v>
      </c>
      <c r="C32" s="70">
        <v>20341966133</v>
      </c>
      <c r="D32" t="s">
        <v>738</v>
      </c>
      <c r="E32" t="s">
        <v>698</v>
      </c>
      <c r="F32" t="s">
        <v>703</v>
      </c>
      <c r="G32" t="s">
        <v>667</v>
      </c>
      <c r="H32">
        <v>103.2</v>
      </c>
      <c r="I32">
        <v>18.575999999999993</v>
      </c>
      <c r="J32">
        <v>121.776</v>
      </c>
    </row>
    <row r="33" spans="1:10" x14ac:dyDescent="0.3">
      <c r="A33" s="69">
        <v>43854</v>
      </c>
      <c r="B33" t="s">
        <v>739</v>
      </c>
      <c r="C33" s="70">
        <v>20101161634</v>
      </c>
      <c r="D33" t="s">
        <v>740</v>
      </c>
      <c r="E33" t="s">
        <v>706</v>
      </c>
      <c r="F33" t="s">
        <v>689</v>
      </c>
      <c r="G33" t="s">
        <v>670</v>
      </c>
      <c r="H33">
        <v>899</v>
      </c>
      <c r="I33">
        <v>161.81999999999994</v>
      </c>
      <c r="J33">
        <v>1060.82</v>
      </c>
    </row>
    <row r="34" spans="1:10" x14ac:dyDescent="0.3">
      <c r="A34" s="69">
        <v>43855</v>
      </c>
      <c r="B34" t="s">
        <v>741</v>
      </c>
      <c r="C34" s="70">
        <v>20389244431</v>
      </c>
      <c r="D34" t="s">
        <v>742</v>
      </c>
      <c r="E34" t="s">
        <v>692</v>
      </c>
      <c r="F34" t="s">
        <v>703</v>
      </c>
      <c r="G34" t="s">
        <v>666</v>
      </c>
      <c r="H34">
        <v>2222.4</v>
      </c>
      <c r="I34">
        <v>400.0319999999997</v>
      </c>
      <c r="J34">
        <v>2622.4319999999998</v>
      </c>
    </row>
    <row r="35" spans="1:10" x14ac:dyDescent="0.3">
      <c r="A35" s="69">
        <v>43856</v>
      </c>
      <c r="B35" t="s">
        <v>743</v>
      </c>
      <c r="C35" s="70">
        <v>20100037689</v>
      </c>
      <c r="D35" t="s">
        <v>744</v>
      </c>
      <c r="E35" t="s">
        <v>698</v>
      </c>
      <c r="F35" t="s">
        <v>703</v>
      </c>
      <c r="G35" t="s">
        <v>667</v>
      </c>
      <c r="H35">
        <v>287.88</v>
      </c>
      <c r="I35">
        <v>51.818399999999997</v>
      </c>
      <c r="J35">
        <v>339.69839999999999</v>
      </c>
    </row>
    <row r="36" spans="1:10" x14ac:dyDescent="0.3">
      <c r="A36" s="69">
        <v>43857</v>
      </c>
      <c r="B36" t="s">
        <v>745</v>
      </c>
      <c r="C36" s="70">
        <v>20262561781</v>
      </c>
      <c r="D36" t="s">
        <v>746</v>
      </c>
      <c r="E36" t="s">
        <v>698</v>
      </c>
      <c r="F36" t="s">
        <v>689</v>
      </c>
      <c r="G36" t="s">
        <v>666</v>
      </c>
      <c r="H36">
        <v>86.4</v>
      </c>
      <c r="I36">
        <v>15.551999999999992</v>
      </c>
      <c r="J36">
        <v>101.952</v>
      </c>
    </row>
    <row r="37" spans="1:10" x14ac:dyDescent="0.3">
      <c r="A37" s="69">
        <v>43858</v>
      </c>
      <c r="B37" t="s">
        <v>747</v>
      </c>
      <c r="C37" s="70">
        <v>20100119227</v>
      </c>
      <c r="D37" t="s">
        <v>748</v>
      </c>
      <c r="E37" t="s">
        <v>698</v>
      </c>
      <c r="F37" t="s">
        <v>689</v>
      </c>
      <c r="G37" t="s">
        <v>670</v>
      </c>
      <c r="H37">
        <v>2713.5</v>
      </c>
      <c r="I37">
        <v>488.42999999999984</v>
      </c>
      <c r="J37">
        <v>3201.93</v>
      </c>
    </row>
    <row r="38" spans="1:10" x14ac:dyDescent="0.3">
      <c r="A38" s="69">
        <v>43859</v>
      </c>
      <c r="B38" t="s">
        <v>749</v>
      </c>
      <c r="C38" s="70">
        <v>20100020441</v>
      </c>
      <c r="D38" t="s">
        <v>750</v>
      </c>
      <c r="E38" t="s">
        <v>698</v>
      </c>
      <c r="F38" t="s">
        <v>689</v>
      </c>
      <c r="G38" t="s">
        <v>670</v>
      </c>
      <c r="H38">
        <v>1622.4</v>
      </c>
      <c r="I38">
        <v>292.03199999999993</v>
      </c>
      <c r="J38">
        <v>1914.432</v>
      </c>
    </row>
    <row r="39" spans="1:10" x14ac:dyDescent="0.3">
      <c r="A39" s="69">
        <v>43860</v>
      </c>
      <c r="B39" t="s">
        <v>751</v>
      </c>
      <c r="C39" s="70">
        <v>20101313833</v>
      </c>
      <c r="D39" t="s">
        <v>752</v>
      </c>
      <c r="E39" t="s">
        <v>692</v>
      </c>
      <c r="F39" t="s">
        <v>689</v>
      </c>
      <c r="G39" t="s">
        <v>666</v>
      </c>
      <c r="H39">
        <v>802</v>
      </c>
      <c r="I39">
        <v>144.3599999999999</v>
      </c>
      <c r="J39">
        <v>946.3599999999999</v>
      </c>
    </row>
    <row r="40" spans="1:10" x14ac:dyDescent="0.3">
      <c r="A40" s="69">
        <v>43861</v>
      </c>
      <c r="B40" t="s">
        <v>753</v>
      </c>
      <c r="C40" s="70">
        <v>20100044626</v>
      </c>
      <c r="D40" t="s">
        <v>754</v>
      </c>
      <c r="E40" t="s">
        <v>692</v>
      </c>
      <c r="F40" t="s">
        <v>703</v>
      </c>
      <c r="G40" t="s">
        <v>666</v>
      </c>
      <c r="H40">
        <v>966.8</v>
      </c>
      <c r="I40">
        <v>174.02399999999989</v>
      </c>
      <c r="J40">
        <v>1140.8239999999998</v>
      </c>
    </row>
    <row r="41" spans="1:10" x14ac:dyDescent="0.3">
      <c r="A41" s="69">
        <v>43862</v>
      </c>
      <c r="B41" t="s">
        <v>755</v>
      </c>
      <c r="C41" s="70">
        <v>20100277051</v>
      </c>
      <c r="D41" t="s">
        <v>756</v>
      </c>
      <c r="E41" t="s">
        <v>698</v>
      </c>
      <c r="F41" t="s">
        <v>703</v>
      </c>
      <c r="G41" t="s">
        <v>669</v>
      </c>
      <c r="H41">
        <v>224.83</v>
      </c>
      <c r="I41">
        <v>40.469399999999979</v>
      </c>
      <c r="J41">
        <v>265.29939999999999</v>
      </c>
    </row>
    <row r="42" spans="1:10" x14ac:dyDescent="0.3">
      <c r="A42" s="69">
        <v>43863</v>
      </c>
      <c r="B42" t="s">
        <v>757</v>
      </c>
      <c r="C42" s="70">
        <v>20100051916</v>
      </c>
      <c r="D42" t="s">
        <v>758</v>
      </c>
      <c r="E42" t="s">
        <v>698</v>
      </c>
      <c r="F42" t="s">
        <v>703</v>
      </c>
      <c r="G42" t="s">
        <v>669</v>
      </c>
      <c r="H42">
        <v>49.8</v>
      </c>
      <c r="I42">
        <v>8.9639999999999986</v>
      </c>
      <c r="J42">
        <v>58.763999999999996</v>
      </c>
    </row>
    <row r="43" spans="1:10" x14ac:dyDescent="0.3">
      <c r="A43" s="69">
        <v>43864</v>
      </c>
      <c r="B43" t="s">
        <v>759</v>
      </c>
      <c r="C43" s="70">
        <v>20112999621</v>
      </c>
      <c r="D43" t="s">
        <v>760</v>
      </c>
      <c r="E43" t="s">
        <v>698</v>
      </c>
      <c r="F43" t="s">
        <v>689</v>
      </c>
      <c r="G43" t="s">
        <v>666</v>
      </c>
      <c r="H43">
        <v>321.12</v>
      </c>
      <c r="I43">
        <v>57.801600000000008</v>
      </c>
      <c r="J43">
        <v>378.92160000000001</v>
      </c>
    </row>
    <row r="44" spans="1:10" x14ac:dyDescent="0.3">
      <c r="A44" s="69">
        <v>43865</v>
      </c>
      <c r="B44" t="s">
        <v>761</v>
      </c>
      <c r="C44" s="70">
        <v>20147895705</v>
      </c>
      <c r="D44" t="s">
        <v>762</v>
      </c>
      <c r="E44" t="s">
        <v>698</v>
      </c>
      <c r="F44" t="s">
        <v>689</v>
      </c>
      <c r="G44" t="s">
        <v>670</v>
      </c>
      <c r="H44">
        <v>631.6</v>
      </c>
      <c r="I44">
        <v>113.68799999999999</v>
      </c>
      <c r="J44">
        <v>745.28800000000001</v>
      </c>
    </row>
    <row r="45" spans="1:10" x14ac:dyDescent="0.3">
      <c r="A45" s="69">
        <v>43866</v>
      </c>
      <c r="B45" t="s">
        <v>763</v>
      </c>
      <c r="C45" s="70">
        <v>20257364608</v>
      </c>
      <c r="D45" t="s">
        <v>764</v>
      </c>
      <c r="E45" t="s">
        <v>692</v>
      </c>
      <c r="F45" t="s">
        <v>703</v>
      </c>
      <c r="G45" t="s">
        <v>666</v>
      </c>
      <c r="H45">
        <v>1994.52</v>
      </c>
      <c r="I45">
        <v>359.01359999999977</v>
      </c>
      <c r="J45">
        <v>2353.5335999999998</v>
      </c>
    </row>
    <row r="46" spans="1:10" x14ac:dyDescent="0.3">
      <c r="A46" s="69">
        <v>43867</v>
      </c>
      <c r="B46" t="s">
        <v>765</v>
      </c>
      <c r="C46" s="70">
        <v>20160641810</v>
      </c>
      <c r="D46" t="s">
        <v>687</v>
      </c>
      <c r="E46" t="s">
        <v>698</v>
      </c>
      <c r="F46" t="s">
        <v>703</v>
      </c>
      <c r="G46" t="s">
        <v>666</v>
      </c>
      <c r="H46">
        <v>1792</v>
      </c>
      <c r="I46">
        <v>322.55999999999995</v>
      </c>
      <c r="J46">
        <v>2114.56</v>
      </c>
    </row>
    <row r="47" spans="1:10" x14ac:dyDescent="0.3">
      <c r="A47" s="69">
        <v>43868</v>
      </c>
      <c r="B47" t="s">
        <v>766</v>
      </c>
      <c r="C47" s="70">
        <v>20390473142</v>
      </c>
      <c r="D47" t="s">
        <v>691</v>
      </c>
      <c r="E47" t="s">
        <v>692</v>
      </c>
      <c r="F47" t="s">
        <v>703</v>
      </c>
      <c r="G47" t="s">
        <v>666</v>
      </c>
      <c r="H47">
        <v>1031.7</v>
      </c>
      <c r="I47">
        <v>185.7059999999999</v>
      </c>
      <c r="J47">
        <v>1217.4059999999999</v>
      </c>
    </row>
    <row r="48" spans="1:10" x14ac:dyDescent="0.3">
      <c r="A48" s="69">
        <v>43869</v>
      </c>
      <c r="B48" t="s">
        <v>767</v>
      </c>
      <c r="C48" s="70">
        <v>20100562848</v>
      </c>
      <c r="D48" t="s">
        <v>697</v>
      </c>
      <c r="E48" t="s">
        <v>692</v>
      </c>
      <c r="F48" t="s">
        <v>703</v>
      </c>
      <c r="G48" t="s">
        <v>666</v>
      </c>
      <c r="H48">
        <v>1838.2</v>
      </c>
      <c r="I48">
        <v>330.87599999999998</v>
      </c>
      <c r="J48">
        <v>2169.076</v>
      </c>
    </row>
    <row r="49" spans="1:10" x14ac:dyDescent="0.3">
      <c r="A49" s="69">
        <v>43870</v>
      </c>
      <c r="B49" t="s">
        <v>768</v>
      </c>
      <c r="C49" s="70">
        <v>20101433499</v>
      </c>
      <c r="D49" t="s">
        <v>769</v>
      </c>
      <c r="E49" t="s">
        <v>698</v>
      </c>
      <c r="F49" t="s">
        <v>689</v>
      </c>
      <c r="G49" t="s">
        <v>670</v>
      </c>
      <c r="H49">
        <v>176.1</v>
      </c>
      <c r="I49">
        <v>31.697999999999979</v>
      </c>
      <c r="J49">
        <v>207.79799999999997</v>
      </c>
    </row>
    <row r="50" spans="1:10" x14ac:dyDescent="0.3">
      <c r="A50" s="69">
        <v>43871</v>
      </c>
      <c r="B50" t="s">
        <v>770</v>
      </c>
      <c r="C50" s="70">
        <v>20100498902</v>
      </c>
      <c r="D50" t="s">
        <v>771</v>
      </c>
      <c r="E50" t="s">
        <v>698</v>
      </c>
      <c r="F50" t="s">
        <v>703</v>
      </c>
      <c r="G50" t="s">
        <v>669</v>
      </c>
      <c r="H50">
        <v>156</v>
      </c>
      <c r="I50">
        <v>28.079999999999984</v>
      </c>
      <c r="J50">
        <v>184.07999999999998</v>
      </c>
    </row>
    <row r="51" spans="1:10" x14ac:dyDescent="0.3">
      <c r="A51" s="69">
        <v>43872</v>
      </c>
      <c r="B51" t="s">
        <v>772</v>
      </c>
      <c r="C51" s="70">
        <v>20258886420</v>
      </c>
      <c r="D51" t="s">
        <v>705</v>
      </c>
      <c r="E51" t="s">
        <v>692</v>
      </c>
      <c r="F51" t="s">
        <v>689</v>
      </c>
      <c r="G51" t="s">
        <v>669</v>
      </c>
      <c r="H51">
        <v>1328</v>
      </c>
      <c r="I51">
        <v>239.03999999999996</v>
      </c>
      <c r="J51">
        <v>1567.04</v>
      </c>
    </row>
    <row r="52" spans="1:10" x14ac:dyDescent="0.3">
      <c r="A52" s="69">
        <v>43873</v>
      </c>
      <c r="B52" t="s">
        <v>773</v>
      </c>
      <c r="C52" s="70">
        <v>20100051240</v>
      </c>
      <c r="D52" t="s">
        <v>708</v>
      </c>
      <c r="E52" t="s">
        <v>688</v>
      </c>
      <c r="F52" t="s">
        <v>689</v>
      </c>
      <c r="G52" t="s">
        <v>670</v>
      </c>
      <c r="H52">
        <v>180.48</v>
      </c>
      <c r="I52">
        <v>32.486399999999975</v>
      </c>
      <c r="J52">
        <v>212.96639999999996</v>
      </c>
    </row>
    <row r="53" spans="1:10" x14ac:dyDescent="0.3">
      <c r="A53" s="69">
        <v>43874</v>
      </c>
      <c r="B53" t="s">
        <v>774</v>
      </c>
      <c r="C53" s="70">
        <v>20503493650</v>
      </c>
      <c r="D53" t="s">
        <v>775</v>
      </c>
      <c r="E53" t="s">
        <v>692</v>
      </c>
      <c r="F53" t="s">
        <v>689</v>
      </c>
      <c r="G53" t="s">
        <v>666</v>
      </c>
      <c r="H53">
        <v>386.2</v>
      </c>
      <c r="I53">
        <v>69.515999999999963</v>
      </c>
      <c r="J53">
        <v>455.71599999999995</v>
      </c>
    </row>
    <row r="54" spans="1:10" x14ac:dyDescent="0.3">
      <c r="A54" s="69">
        <v>43875</v>
      </c>
      <c r="B54" t="s">
        <v>776</v>
      </c>
      <c r="C54" s="70">
        <v>20301708816</v>
      </c>
      <c r="D54" t="s">
        <v>777</v>
      </c>
      <c r="E54" t="s">
        <v>698</v>
      </c>
      <c r="F54" t="s">
        <v>689</v>
      </c>
      <c r="G54" t="s">
        <v>670</v>
      </c>
      <c r="H54">
        <v>1512</v>
      </c>
      <c r="I54">
        <v>272.15999999999985</v>
      </c>
      <c r="J54">
        <v>1784.1599999999999</v>
      </c>
    </row>
    <row r="55" spans="1:10" x14ac:dyDescent="0.3">
      <c r="A55" s="69">
        <v>43876</v>
      </c>
      <c r="B55" t="s">
        <v>778</v>
      </c>
      <c r="C55" s="70">
        <v>20100136661</v>
      </c>
      <c r="D55" t="s">
        <v>734</v>
      </c>
      <c r="E55" t="s">
        <v>688</v>
      </c>
      <c r="F55" t="s">
        <v>689</v>
      </c>
      <c r="G55" t="s">
        <v>670</v>
      </c>
      <c r="H55">
        <v>259.51</v>
      </c>
      <c r="I55">
        <v>46.711799999999982</v>
      </c>
      <c r="J55">
        <v>306.22179999999997</v>
      </c>
    </row>
    <row r="56" spans="1:10" x14ac:dyDescent="0.3">
      <c r="A56" s="69">
        <v>43877</v>
      </c>
      <c r="B56" t="s">
        <v>779</v>
      </c>
      <c r="C56" s="70">
        <v>20100177341</v>
      </c>
      <c r="D56" t="s">
        <v>780</v>
      </c>
      <c r="E56" t="s">
        <v>692</v>
      </c>
      <c r="F56" t="s">
        <v>703</v>
      </c>
      <c r="G56" t="s">
        <v>666</v>
      </c>
      <c r="H56">
        <v>851.2</v>
      </c>
      <c r="I56">
        <v>153.21600000000001</v>
      </c>
      <c r="J56">
        <v>1004.4160000000001</v>
      </c>
    </row>
    <row r="57" spans="1:10" x14ac:dyDescent="0.3">
      <c r="A57" s="69">
        <v>43878</v>
      </c>
      <c r="B57" t="s">
        <v>781</v>
      </c>
      <c r="C57" s="70">
        <v>20307791936</v>
      </c>
      <c r="D57" t="s">
        <v>782</v>
      </c>
      <c r="E57" t="s">
        <v>688</v>
      </c>
      <c r="F57" t="s">
        <v>689</v>
      </c>
      <c r="G57" t="s">
        <v>670</v>
      </c>
      <c r="H57">
        <v>575</v>
      </c>
      <c r="I57">
        <v>103.5</v>
      </c>
      <c r="J57">
        <v>678.5</v>
      </c>
    </row>
    <row r="58" spans="1:10" x14ac:dyDescent="0.3">
      <c r="A58" s="69">
        <v>43879</v>
      </c>
      <c r="B58" t="s">
        <v>783</v>
      </c>
      <c r="C58" s="70">
        <v>20100061636</v>
      </c>
      <c r="D58" t="s">
        <v>784</v>
      </c>
      <c r="E58" t="s">
        <v>698</v>
      </c>
      <c r="F58" t="s">
        <v>703</v>
      </c>
      <c r="G58" t="s">
        <v>666</v>
      </c>
      <c r="H58">
        <v>8623.4500000000007</v>
      </c>
      <c r="I58">
        <v>1552.2209999999995</v>
      </c>
      <c r="J58">
        <v>10175.671</v>
      </c>
    </row>
    <row r="59" spans="1:10" x14ac:dyDescent="0.3">
      <c r="A59" s="69">
        <v>43880</v>
      </c>
      <c r="B59" t="s">
        <v>785</v>
      </c>
      <c r="C59" s="70">
        <v>20112999621</v>
      </c>
      <c r="D59" t="s">
        <v>760</v>
      </c>
      <c r="E59" t="s">
        <v>692</v>
      </c>
      <c r="F59" t="s">
        <v>689</v>
      </c>
      <c r="G59" t="s">
        <v>670</v>
      </c>
      <c r="H59">
        <v>225.5</v>
      </c>
      <c r="I59">
        <v>40.589999999999975</v>
      </c>
      <c r="J59">
        <v>266.08999999999997</v>
      </c>
    </row>
    <row r="60" spans="1:10" x14ac:dyDescent="0.3">
      <c r="A60" s="69">
        <v>43881</v>
      </c>
      <c r="B60" t="s">
        <v>786</v>
      </c>
      <c r="C60" s="70">
        <v>20100128994</v>
      </c>
      <c r="D60" t="s">
        <v>694</v>
      </c>
      <c r="E60" t="s">
        <v>698</v>
      </c>
      <c r="F60" t="s">
        <v>689</v>
      </c>
      <c r="G60" t="s">
        <v>670</v>
      </c>
      <c r="H60">
        <v>2222.1999999999998</v>
      </c>
      <c r="I60">
        <v>399.99599999999964</v>
      </c>
      <c r="J60">
        <v>2622.1959999999995</v>
      </c>
    </row>
    <row r="61" spans="1:10" x14ac:dyDescent="0.3">
      <c r="A61" s="69">
        <v>43882</v>
      </c>
      <c r="B61" t="s">
        <v>787</v>
      </c>
      <c r="C61" s="70">
        <v>20390473142</v>
      </c>
      <c r="D61" t="s">
        <v>691</v>
      </c>
      <c r="E61" t="s">
        <v>688</v>
      </c>
      <c r="F61" t="s">
        <v>689</v>
      </c>
      <c r="G61" t="s">
        <v>669</v>
      </c>
      <c r="H61">
        <v>880.5</v>
      </c>
      <c r="I61">
        <v>158.49</v>
      </c>
      <c r="J61">
        <v>1038.99</v>
      </c>
    </row>
    <row r="62" spans="1:10" x14ac:dyDescent="0.3">
      <c r="A62" s="69">
        <v>43883</v>
      </c>
      <c r="B62" t="s">
        <v>788</v>
      </c>
      <c r="C62" s="70">
        <v>20213053915</v>
      </c>
      <c r="D62" t="s">
        <v>789</v>
      </c>
      <c r="E62" t="s">
        <v>698</v>
      </c>
      <c r="F62" t="s">
        <v>689</v>
      </c>
      <c r="G62" t="s">
        <v>670</v>
      </c>
      <c r="H62">
        <v>1072.43</v>
      </c>
      <c r="I62">
        <v>193.03739999999993</v>
      </c>
      <c r="J62">
        <v>1265.4674</v>
      </c>
    </row>
    <row r="63" spans="1:10" x14ac:dyDescent="0.3">
      <c r="A63" s="69">
        <v>43884</v>
      </c>
      <c r="B63" t="s">
        <v>790</v>
      </c>
      <c r="C63" s="70">
        <v>20101433499</v>
      </c>
      <c r="D63" t="s">
        <v>769</v>
      </c>
      <c r="E63" t="s">
        <v>698</v>
      </c>
      <c r="F63" t="s">
        <v>703</v>
      </c>
      <c r="G63" t="s">
        <v>669</v>
      </c>
      <c r="H63">
        <v>2844.5</v>
      </c>
      <c r="I63">
        <v>512.00999999999976</v>
      </c>
      <c r="J63">
        <v>3356.5099999999998</v>
      </c>
    </row>
    <row r="64" spans="1:10" x14ac:dyDescent="0.3">
      <c r="A64" s="69">
        <v>43885</v>
      </c>
      <c r="B64" t="s">
        <v>791</v>
      </c>
      <c r="C64" s="70">
        <v>20100498902</v>
      </c>
      <c r="D64" t="s">
        <v>771</v>
      </c>
      <c r="E64" t="s">
        <v>692</v>
      </c>
      <c r="F64" t="s">
        <v>689</v>
      </c>
      <c r="G64" t="s">
        <v>670</v>
      </c>
      <c r="H64">
        <v>1761</v>
      </c>
      <c r="I64">
        <v>316.98</v>
      </c>
      <c r="J64">
        <v>2077.98</v>
      </c>
    </row>
    <row r="65" spans="1:10" x14ac:dyDescent="0.3">
      <c r="A65" s="69">
        <v>43886</v>
      </c>
      <c r="B65" t="s">
        <v>792</v>
      </c>
      <c r="C65" s="70">
        <v>20377444257</v>
      </c>
      <c r="D65" t="s">
        <v>700</v>
      </c>
      <c r="E65" t="s">
        <v>688</v>
      </c>
      <c r="F65" t="s">
        <v>703</v>
      </c>
      <c r="G65" t="s">
        <v>666</v>
      </c>
      <c r="H65">
        <v>155</v>
      </c>
      <c r="I65">
        <v>27.899999999999977</v>
      </c>
      <c r="J65">
        <v>182.89999999999998</v>
      </c>
    </row>
    <row r="66" spans="1:10" x14ac:dyDescent="0.3">
      <c r="A66" s="69">
        <v>43887</v>
      </c>
      <c r="B66" t="s">
        <v>793</v>
      </c>
      <c r="C66" s="70">
        <v>20267223735</v>
      </c>
      <c r="D66" t="s">
        <v>794</v>
      </c>
      <c r="E66" t="s">
        <v>698</v>
      </c>
      <c r="F66" t="s">
        <v>689</v>
      </c>
      <c r="G66" t="s">
        <v>670</v>
      </c>
      <c r="H66">
        <v>550.59</v>
      </c>
      <c r="I66">
        <v>99.106199999999944</v>
      </c>
      <c r="J66">
        <v>649.69619999999998</v>
      </c>
    </row>
    <row r="67" spans="1:10" x14ac:dyDescent="0.3">
      <c r="A67" s="69">
        <v>43888</v>
      </c>
      <c r="B67" t="s">
        <v>795</v>
      </c>
      <c r="C67" s="70">
        <v>20266352337</v>
      </c>
      <c r="D67" t="s">
        <v>702</v>
      </c>
      <c r="E67" t="s">
        <v>692</v>
      </c>
      <c r="F67" t="s">
        <v>689</v>
      </c>
      <c r="G67" t="s">
        <v>666</v>
      </c>
      <c r="H67">
        <v>1501.09</v>
      </c>
      <c r="I67">
        <v>270.19619999999986</v>
      </c>
      <c r="J67">
        <v>1771.2861999999998</v>
      </c>
    </row>
    <row r="68" spans="1:10" x14ac:dyDescent="0.3">
      <c r="A68" s="69">
        <v>43889</v>
      </c>
      <c r="B68" t="s">
        <v>796</v>
      </c>
      <c r="C68" s="70">
        <v>20100067758</v>
      </c>
      <c r="D68" t="s">
        <v>797</v>
      </c>
      <c r="E68" t="s">
        <v>698</v>
      </c>
      <c r="F68" t="s">
        <v>689</v>
      </c>
      <c r="G68" t="s">
        <v>666</v>
      </c>
      <c r="H68">
        <v>310</v>
      </c>
      <c r="I68">
        <v>55.799999999999955</v>
      </c>
      <c r="J68">
        <v>365.79999999999995</v>
      </c>
    </row>
    <row r="69" spans="1:10" x14ac:dyDescent="0.3">
      <c r="A69" s="69">
        <v>43890</v>
      </c>
      <c r="B69" t="s">
        <v>798</v>
      </c>
      <c r="C69" s="70">
        <v>20418141281</v>
      </c>
      <c r="D69" t="s">
        <v>710</v>
      </c>
      <c r="E69" t="s">
        <v>692</v>
      </c>
      <c r="F69" t="s">
        <v>689</v>
      </c>
      <c r="G69" t="s">
        <v>666</v>
      </c>
      <c r="H69">
        <v>330</v>
      </c>
      <c r="I69">
        <v>59.399999999999977</v>
      </c>
      <c r="J69">
        <v>389.4</v>
      </c>
    </row>
    <row r="70" spans="1:10" x14ac:dyDescent="0.3">
      <c r="A70" s="69">
        <v>43891</v>
      </c>
      <c r="B70" t="s">
        <v>799</v>
      </c>
      <c r="C70" s="70">
        <v>20266352337</v>
      </c>
      <c r="D70" t="s">
        <v>702</v>
      </c>
      <c r="E70" t="s">
        <v>688</v>
      </c>
      <c r="F70" t="s">
        <v>689</v>
      </c>
      <c r="G70" t="s">
        <v>670</v>
      </c>
      <c r="H70">
        <v>72</v>
      </c>
      <c r="I70">
        <v>12.959999999999994</v>
      </c>
      <c r="J70">
        <v>84.96</v>
      </c>
    </row>
    <row r="71" spans="1:10" x14ac:dyDescent="0.3">
      <c r="A71" s="69">
        <v>43892</v>
      </c>
      <c r="B71" t="s">
        <v>800</v>
      </c>
      <c r="C71" s="70">
        <v>20258886420</v>
      </c>
      <c r="D71" t="s">
        <v>705</v>
      </c>
      <c r="E71" t="s">
        <v>698</v>
      </c>
      <c r="F71" t="s">
        <v>703</v>
      </c>
      <c r="G71" t="s">
        <v>669</v>
      </c>
      <c r="H71">
        <v>4725</v>
      </c>
      <c r="I71">
        <v>850.5</v>
      </c>
      <c r="J71">
        <v>5575.5</v>
      </c>
    </row>
    <row r="72" spans="1:10" x14ac:dyDescent="0.3">
      <c r="A72" s="69">
        <v>43893</v>
      </c>
      <c r="B72" t="s">
        <v>801</v>
      </c>
      <c r="C72" s="70">
        <v>20101362702</v>
      </c>
      <c r="D72" t="s">
        <v>714</v>
      </c>
      <c r="E72" t="s">
        <v>695</v>
      </c>
      <c r="F72" t="s">
        <v>689</v>
      </c>
      <c r="G72" t="s">
        <v>668</v>
      </c>
      <c r="H72">
        <v>353.2</v>
      </c>
      <c r="I72">
        <v>63.575999999999965</v>
      </c>
      <c r="J72">
        <v>416.77599999999995</v>
      </c>
    </row>
    <row r="73" spans="1:10" x14ac:dyDescent="0.3">
      <c r="A73" s="69">
        <v>43894</v>
      </c>
      <c r="B73" t="s">
        <v>802</v>
      </c>
      <c r="C73" s="70">
        <v>20100261058</v>
      </c>
      <c r="D73" t="s">
        <v>803</v>
      </c>
      <c r="E73" t="s">
        <v>692</v>
      </c>
      <c r="F73" t="s">
        <v>689</v>
      </c>
      <c r="G73" t="s">
        <v>670</v>
      </c>
      <c r="H73">
        <v>464</v>
      </c>
      <c r="I73">
        <v>83.519999999999982</v>
      </c>
      <c r="J73">
        <v>547.52</v>
      </c>
    </row>
    <row r="74" spans="1:10" x14ac:dyDescent="0.3">
      <c r="A74" s="69">
        <v>43895</v>
      </c>
      <c r="B74" t="s">
        <v>804</v>
      </c>
      <c r="C74" s="70">
        <v>20100134455</v>
      </c>
      <c r="D74" t="s">
        <v>718</v>
      </c>
      <c r="E74" t="s">
        <v>698</v>
      </c>
      <c r="F74" t="s">
        <v>689</v>
      </c>
      <c r="G74" t="s">
        <v>670</v>
      </c>
      <c r="H74">
        <v>1336.95</v>
      </c>
      <c r="I74">
        <v>240.65099999999984</v>
      </c>
      <c r="J74">
        <v>1577.6009999999999</v>
      </c>
    </row>
    <row r="75" spans="1:10" x14ac:dyDescent="0.3">
      <c r="A75" s="69">
        <v>43896</v>
      </c>
      <c r="B75" t="s">
        <v>805</v>
      </c>
      <c r="C75" s="70">
        <v>20414407677</v>
      </c>
      <c r="D75" t="s">
        <v>806</v>
      </c>
      <c r="E75" t="s">
        <v>706</v>
      </c>
      <c r="F75" t="s">
        <v>703</v>
      </c>
      <c r="G75" t="s">
        <v>666</v>
      </c>
      <c r="H75">
        <v>479.75</v>
      </c>
      <c r="I75">
        <v>86.355000000000018</v>
      </c>
      <c r="J75">
        <v>566.10500000000002</v>
      </c>
    </row>
    <row r="76" spans="1:10" x14ac:dyDescent="0.3">
      <c r="A76" s="69">
        <v>43897</v>
      </c>
      <c r="B76" t="s">
        <v>807</v>
      </c>
      <c r="C76" s="70">
        <v>20503493650</v>
      </c>
      <c r="D76" t="s">
        <v>775</v>
      </c>
      <c r="E76" t="s">
        <v>698</v>
      </c>
      <c r="F76" t="s">
        <v>689</v>
      </c>
      <c r="G76" t="s">
        <v>670</v>
      </c>
      <c r="H76">
        <v>589</v>
      </c>
      <c r="I76">
        <v>106.01999999999998</v>
      </c>
      <c r="J76">
        <v>695.02</v>
      </c>
    </row>
    <row r="77" spans="1:10" x14ac:dyDescent="0.3">
      <c r="A77" s="69">
        <v>43898</v>
      </c>
      <c r="B77" t="s">
        <v>808</v>
      </c>
      <c r="C77" s="70">
        <v>20100136661</v>
      </c>
      <c r="D77" t="s">
        <v>734</v>
      </c>
      <c r="E77" t="s">
        <v>695</v>
      </c>
      <c r="F77" t="s">
        <v>689</v>
      </c>
      <c r="G77" t="s">
        <v>668</v>
      </c>
      <c r="H77">
        <v>2054</v>
      </c>
      <c r="I77">
        <v>369.7199999999998</v>
      </c>
      <c r="J77">
        <v>2423.7199999999998</v>
      </c>
    </row>
    <row r="78" spans="1:10" x14ac:dyDescent="0.3">
      <c r="A78" s="69">
        <v>43899</v>
      </c>
      <c r="B78" t="s">
        <v>809</v>
      </c>
      <c r="C78" s="70">
        <v>20307791936</v>
      </c>
      <c r="D78" t="s">
        <v>782</v>
      </c>
      <c r="E78" t="s">
        <v>698</v>
      </c>
      <c r="F78" t="s">
        <v>689</v>
      </c>
      <c r="G78" t="s">
        <v>667</v>
      </c>
      <c r="H78">
        <v>1779.2</v>
      </c>
      <c r="I78">
        <v>320.25600000000009</v>
      </c>
      <c r="J78">
        <v>2099.4560000000001</v>
      </c>
    </row>
    <row r="79" spans="1:10" x14ac:dyDescent="0.3">
      <c r="A79" s="69">
        <v>43900</v>
      </c>
      <c r="B79" t="s">
        <v>810</v>
      </c>
      <c r="C79" s="70">
        <v>20341966133</v>
      </c>
      <c r="D79" t="s">
        <v>738</v>
      </c>
      <c r="E79" t="s">
        <v>698</v>
      </c>
      <c r="F79" t="s">
        <v>689</v>
      </c>
      <c r="G79" t="s">
        <v>670</v>
      </c>
      <c r="H79">
        <v>397.8</v>
      </c>
      <c r="I79">
        <v>71.603999999999985</v>
      </c>
      <c r="J79">
        <v>469.404</v>
      </c>
    </row>
    <row r="80" spans="1:10" x14ac:dyDescent="0.3">
      <c r="A80" s="69">
        <v>43901</v>
      </c>
      <c r="B80" t="s">
        <v>811</v>
      </c>
      <c r="C80" s="70">
        <v>20389244431</v>
      </c>
      <c r="D80" t="s">
        <v>742</v>
      </c>
      <c r="E80" t="s">
        <v>706</v>
      </c>
      <c r="F80" t="s">
        <v>703</v>
      </c>
      <c r="G80" t="s">
        <v>667</v>
      </c>
      <c r="H80">
        <v>601.83000000000004</v>
      </c>
      <c r="I80">
        <v>108.32939999999996</v>
      </c>
      <c r="J80">
        <v>710.15940000000001</v>
      </c>
    </row>
    <row r="81" spans="1:10" x14ac:dyDescent="0.3">
      <c r="A81" s="69">
        <v>43902</v>
      </c>
      <c r="B81" t="s">
        <v>812</v>
      </c>
      <c r="C81" s="70">
        <v>20430832957</v>
      </c>
      <c r="D81" t="s">
        <v>813</v>
      </c>
      <c r="E81" t="s">
        <v>692</v>
      </c>
      <c r="F81" t="s">
        <v>689</v>
      </c>
      <c r="G81" t="s">
        <v>669</v>
      </c>
      <c r="H81">
        <v>1930.4</v>
      </c>
      <c r="I81">
        <v>347.47199999999975</v>
      </c>
      <c r="J81">
        <v>2277.8719999999998</v>
      </c>
    </row>
    <row r="82" spans="1:10" x14ac:dyDescent="0.3">
      <c r="A82" s="69">
        <v>43903</v>
      </c>
      <c r="B82" t="s">
        <v>814</v>
      </c>
      <c r="C82" s="70">
        <v>20100116121</v>
      </c>
      <c r="D82" t="s">
        <v>815</v>
      </c>
      <c r="E82" t="s">
        <v>698</v>
      </c>
      <c r="F82" t="s">
        <v>703</v>
      </c>
      <c r="G82" t="s">
        <v>667</v>
      </c>
      <c r="H82">
        <v>1423</v>
      </c>
      <c r="I82">
        <v>256.13999999999987</v>
      </c>
      <c r="J82">
        <v>1679.1399999999999</v>
      </c>
    </row>
    <row r="83" spans="1:10" x14ac:dyDescent="0.3">
      <c r="A83" s="69">
        <v>43904</v>
      </c>
      <c r="B83" t="s">
        <v>816</v>
      </c>
      <c r="C83" s="70">
        <v>20101313833</v>
      </c>
      <c r="D83" t="s">
        <v>752</v>
      </c>
      <c r="E83" t="s">
        <v>692</v>
      </c>
      <c r="F83" t="s">
        <v>689</v>
      </c>
      <c r="G83" t="s">
        <v>670</v>
      </c>
      <c r="H83">
        <v>660</v>
      </c>
      <c r="I83">
        <v>118.79999999999995</v>
      </c>
      <c r="J83">
        <v>778.8</v>
      </c>
    </row>
    <row r="84" spans="1:10" x14ac:dyDescent="0.3">
      <c r="A84" s="69">
        <v>43905</v>
      </c>
      <c r="B84" t="s">
        <v>817</v>
      </c>
      <c r="C84" s="70">
        <v>20100044626</v>
      </c>
      <c r="D84" t="s">
        <v>754</v>
      </c>
      <c r="E84" t="s">
        <v>688</v>
      </c>
      <c r="F84" t="s">
        <v>703</v>
      </c>
      <c r="G84" t="s">
        <v>666</v>
      </c>
      <c r="H84">
        <v>1287.4000000000001</v>
      </c>
      <c r="I84">
        <v>231.73199999999997</v>
      </c>
      <c r="J84">
        <v>1519.1320000000001</v>
      </c>
    </row>
    <row r="85" spans="1:10" x14ac:dyDescent="0.3">
      <c r="A85" s="69">
        <v>43906</v>
      </c>
      <c r="B85" t="s">
        <v>818</v>
      </c>
      <c r="C85" s="70">
        <v>20100277051</v>
      </c>
      <c r="D85" t="s">
        <v>756</v>
      </c>
      <c r="E85" t="s">
        <v>692</v>
      </c>
      <c r="F85" t="s">
        <v>703</v>
      </c>
      <c r="G85" t="s">
        <v>666</v>
      </c>
      <c r="H85">
        <v>375.5</v>
      </c>
      <c r="I85">
        <v>67.589999999999975</v>
      </c>
      <c r="J85">
        <v>443.09</v>
      </c>
    </row>
    <row r="86" spans="1:10" x14ac:dyDescent="0.3">
      <c r="A86" s="69">
        <v>43907</v>
      </c>
      <c r="B86" t="s">
        <v>819</v>
      </c>
      <c r="C86" s="70">
        <v>20100051916</v>
      </c>
      <c r="D86" t="s">
        <v>758</v>
      </c>
      <c r="E86" t="s">
        <v>698</v>
      </c>
      <c r="F86" t="s">
        <v>703</v>
      </c>
      <c r="G86" t="s">
        <v>669</v>
      </c>
      <c r="H86">
        <v>63</v>
      </c>
      <c r="I86">
        <v>11.339999999999989</v>
      </c>
      <c r="J86">
        <v>74.339999999999989</v>
      </c>
    </row>
    <row r="87" spans="1:10" x14ac:dyDescent="0.3">
      <c r="A87" s="69">
        <v>43908</v>
      </c>
      <c r="B87" t="s">
        <v>820</v>
      </c>
      <c r="C87" s="70">
        <v>20204441007</v>
      </c>
      <c r="D87" t="s">
        <v>821</v>
      </c>
      <c r="E87" t="s">
        <v>692</v>
      </c>
      <c r="F87" t="s">
        <v>703</v>
      </c>
      <c r="G87" t="s">
        <v>666</v>
      </c>
      <c r="H87">
        <v>1296</v>
      </c>
      <c r="I87">
        <v>233.27999999999997</v>
      </c>
      <c r="J87">
        <v>1529.28</v>
      </c>
    </row>
    <row r="88" spans="1:10" x14ac:dyDescent="0.3">
      <c r="A88" s="69">
        <v>43909</v>
      </c>
      <c r="B88" t="s">
        <v>822</v>
      </c>
      <c r="C88" s="70">
        <v>20108572958</v>
      </c>
      <c r="D88" t="s">
        <v>823</v>
      </c>
      <c r="E88" t="s">
        <v>692</v>
      </c>
      <c r="F88" t="s">
        <v>703</v>
      </c>
      <c r="G88" t="s">
        <v>667</v>
      </c>
      <c r="H88">
        <v>484.26</v>
      </c>
      <c r="I88">
        <v>87.166799999999967</v>
      </c>
      <c r="J88">
        <v>571.42679999999996</v>
      </c>
    </row>
    <row r="89" spans="1:10" x14ac:dyDescent="0.3">
      <c r="A89" s="69">
        <v>43910</v>
      </c>
      <c r="B89" t="s">
        <v>824</v>
      </c>
      <c r="C89" s="70">
        <v>20143988725</v>
      </c>
      <c r="D89" t="s">
        <v>825</v>
      </c>
      <c r="E89" t="s">
        <v>692</v>
      </c>
      <c r="F89" t="s">
        <v>689</v>
      </c>
      <c r="G89" t="s">
        <v>666</v>
      </c>
      <c r="H89">
        <v>360</v>
      </c>
      <c r="I89">
        <v>64.799999999999955</v>
      </c>
      <c r="J89">
        <v>424.79999999999995</v>
      </c>
    </row>
    <row r="90" spans="1:10" x14ac:dyDescent="0.3">
      <c r="A90" s="69">
        <v>43911</v>
      </c>
      <c r="B90" t="s">
        <v>826</v>
      </c>
      <c r="C90" s="70">
        <v>20297687655</v>
      </c>
      <c r="D90" t="s">
        <v>728</v>
      </c>
      <c r="E90" t="s">
        <v>688</v>
      </c>
      <c r="F90" t="s">
        <v>689</v>
      </c>
      <c r="G90" t="s">
        <v>669</v>
      </c>
      <c r="H90">
        <v>1498.35</v>
      </c>
      <c r="I90">
        <v>269.70299999999997</v>
      </c>
      <c r="J90">
        <v>1768.0529999999999</v>
      </c>
    </row>
    <row r="91" spans="1:10" x14ac:dyDescent="0.3">
      <c r="A91" s="69">
        <v>43912</v>
      </c>
      <c r="B91" t="s">
        <v>827</v>
      </c>
      <c r="C91" s="70">
        <v>20100129028</v>
      </c>
      <c r="D91" t="s">
        <v>828</v>
      </c>
      <c r="E91" t="s">
        <v>692</v>
      </c>
      <c r="F91" t="s">
        <v>689</v>
      </c>
      <c r="G91" t="s">
        <v>666</v>
      </c>
      <c r="H91">
        <v>3118</v>
      </c>
      <c r="I91">
        <v>561.23999999999978</v>
      </c>
      <c r="J91">
        <v>3679.24</v>
      </c>
    </row>
    <row r="92" spans="1:10" x14ac:dyDescent="0.3">
      <c r="A92" s="69">
        <v>43913</v>
      </c>
      <c r="B92" t="s">
        <v>829</v>
      </c>
      <c r="C92" s="70">
        <v>20301708816</v>
      </c>
      <c r="D92" t="s">
        <v>777</v>
      </c>
      <c r="E92" t="s">
        <v>698</v>
      </c>
      <c r="F92" t="s">
        <v>689</v>
      </c>
      <c r="G92" t="s">
        <v>666</v>
      </c>
      <c r="H92">
        <v>88</v>
      </c>
      <c r="I92">
        <v>15.839999999999989</v>
      </c>
      <c r="J92">
        <v>103.83999999999999</v>
      </c>
    </row>
    <row r="93" spans="1:10" x14ac:dyDescent="0.3">
      <c r="A93" s="69">
        <v>43914</v>
      </c>
      <c r="B93" t="s">
        <v>830</v>
      </c>
      <c r="C93" s="70">
        <v>20100136661</v>
      </c>
      <c r="D93" t="s">
        <v>734</v>
      </c>
      <c r="E93" t="s">
        <v>706</v>
      </c>
      <c r="F93" t="s">
        <v>703</v>
      </c>
      <c r="G93" t="s">
        <v>666</v>
      </c>
      <c r="H93">
        <v>320</v>
      </c>
      <c r="I93">
        <v>57.599999999999966</v>
      </c>
      <c r="J93">
        <v>377.59999999999997</v>
      </c>
    </row>
    <row r="94" spans="1:10" x14ac:dyDescent="0.3">
      <c r="A94" s="69">
        <v>43915</v>
      </c>
      <c r="B94" t="s">
        <v>831</v>
      </c>
      <c r="C94" s="70">
        <v>20100177341</v>
      </c>
      <c r="D94" t="s">
        <v>780</v>
      </c>
      <c r="E94" t="s">
        <v>698</v>
      </c>
      <c r="F94" t="s">
        <v>703</v>
      </c>
      <c r="G94" t="s">
        <v>666</v>
      </c>
      <c r="H94">
        <v>4337</v>
      </c>
      <c r="I94">
        <v>780.65999999999985</v>
      </c>
      <c r="J94">
        <v>5117.66</v>
      </c>
    </row>
    <row r="95" spans="1:10" x14ac:dyDescent="0.3">
      <c r="A95" s="69">
        <v>43916</v>
      </c>
      <c r="B95" t="s">
        <v>832</v>
      </c>
      <c r="C95" s="70">
        <v>20263674929</v>
      </c>
      <c r="D95" t="s">
        <v>736</v>
      </c>
      <c r="E95" t="s">
        <v>698</v>
      </c>
      <c r="F95" t="s">
        <v>689</v>
      </c>
      <c r="G95" t="s">
        <v>666</v>
      </c>
      <c r="H95">
        <v>616</v>
      </c>
      <c r="I95">
        <v>110.88</v>
      </c>
      <c r="J95">
        <v>726.88</v>
      </c>
    </row>
    <row r="96" spans="1:10" x14ac:dyDescent="0.3">
      <c r="A96" s="69">
        <v>43917</v>
      </c>
      <c r="B96" t="s">
        <v>833</v>
      </c>
      <c r="C96" s="70">
        <v>20341966133</v>
      </c>
      <c r="D96" t="s">
        <v>738</v>
      </c>
      <c r="E96" t="s">
        <v>706</v>
      </c>
      <c r="F96" t="s">
        <v>703</v>
      </c>
      <c r="G96" t="s">
        <v>666</v>
      </c>
      <c r="H96">
        <v>1477</v>
      </c>
      <c r="I96">
        <v>265.8599999999999</v>
      </c>
      <c r="J96">
        <v>1742.86</v>
      </c>
    </row>
    <row r="97" spans="1:10" x14ac:dyDescent="0.3">
      <c r="A97" s="69">
        <v>43918</v>
      </c>
      <c r="B97" t="s">
        <v>834</v>
      </c>
      <c r="C97" s="70">
        <v>20338735651</v>
      </c>
      <c r="D97" t="s">
        <v>835</v>
      </c>
      <c r="E97" t="s">
        <v>688</v>
      </c>
      <c r="F97" t="s">
        <v>689</v>
      </c>
      <c r="G97" t="s">
        <v>670</v>
      </c>
      <c r="H97">
        <v>236.25</v>
      </c>
      <c r="I97">
        <v>42.524999999999977</v>
      </c>
      <c r="J97">
        <v>278.77499999999998</v>
      </c>
    </row>
    <row r="98" spans="1:10" x14ac:dyDescent="0.3">
      <c r="A98" s="69">
        <v>43919</v>
      </c>
      <c r="B98" t="s">
        <v>836</v>
      </c>
      <c r="C98" s="70">
        <v>20101161634</v>
      </c>
      <c r="D98" t="s">
        <v>740</v>
      </c>
      <c r="E98" t="s">
        <v>698</v>
      </c>
      <c r="F98" t="s">
        <v>689</v>
      </c>
      <c r="G98" t="s">
        <v>670</v>
      </c>
      <c r="H98">
        <v>344</v>
      </c>
      <c r="I98">
        <v>61.919999999999959</v>
      </c>
      <c r="J98">
        <v>405.91999999999996</v>
      </c>
    </row>
    <row r="99" spans="1:10" x14ac:dyDescent="0.3">
      <c r="A99" s="69">
        <v>43920</v>
      </c>
      <c r="B99" t="s">
        <v>837</v>
      </c>
      <c r="C99" s="70">
        <v>20262561781</v>
      </c>
      <c r="D99" t="s">
        <v>746</v>
      </c>
      <c r="E99" t="s">
        <v>692</v>
      </c>
      <c r="F99" t="s">
        <v>689</v>
      </c>
      <c r="G99" t="s">
        <v>666</v>
      </c>
      <c r="H99">
        <v>96.5</v>
      </c>
      <c r="I99">
        <v>17.36999999999999</v>
      </c>
      <c r="J99">
        <v>113.86999999999999</v>
      </c>
    </row>
    <row r="100" spans="1:10" x14ac:dyDescent="0.3">
      <c r="A100" s="69">
        <v>43921</v>
      </c>
      <c r="B100" t="s">
        <v>838</v>
      </c>
      <c r="C100" s="70">
        <v>20100082633</v>
      </c>
      <c r="D100" t="s">
        <v>839</v>
      </c>
      <c r="E100" t="s">
        <v>692</v>
      </c>
      <c r="F100" t="s">
        <v>689</v>
      </c>
      <c r="G100" t="s">
        <v>669</v>
      </c>
      <c r="H100">
        <v>12.5</v>
      </c>
      <c r="I100">
        <v>2.25</v>
      </c>
      <c r="J100">
        <v>14.75</v>
      </c>
    </row>
    <row r="101" spans="1:10" x14ac:dyDescent="0.3">
      <c r="A101" s="69">
        <v>43922</v>
      </c>
      <c r="B101" t="s">
        <v>840</v>
      </c>
      <c r="C101" s="70">
        <v>20100136661</v>
      </c>
      <c r="D101" t="s">
        <v>734</v>
      </c>
      <c r="E101" t="s">
        <v>706</v>
      </c>
      <c r="F101" t="s">
        <v>689</v>
      </c>
      <c r="G101" t="s">
        <v>666</v>
      </c>
      <c r="H101">
        <v>191.1</v>
      </c>
      <c r="I101">
        <v>34.397999999999996</v>
      </c>
      <c r="J101">
        <v>225.49799999999999</v>
      </c>
    </row>
    <row r="102" spans="1:10" x14ac:dyDescent="0.3">
      <c r="A102" s="69">
        <v>43923</v>
      </c>
      <c r="B102" t="s">
        <v>841</v>
      </c>
      <c r="C102" s="70">
        <v>20100177341</v>
      </c>
      <c r="D102" t="s">
        <v>780</v>
      </c>
      <c r="E102" t="s">
        <v>698</v>
      </c>
      <c r="F102" t="s">
        <v>689</v>
      </c>
      <c r="G102" t="s">
        <v>670</v>
      </c>
      <c r="H102">
        <v>2158</v>
      </c>
      <c r="I102">
        <v>388.44000000000005</v>
      </c>
      <c r="J102">
        <v>2546.44</v>
      </c>
    </row>
    <row r="103" spans="1:10" x14ac:dyDescent="0.3">
      <c r="A103" s="69">
        <v>43924</v>
      </c>
      <c r="B103" t="s">
        <v>842</v>
      </c>
      <c r="C103" s="70">
        <v>20263674929</v>
      </c>
      <c r="D103" t="s">
        <v>736</v>
      </c>
      <c r="E103" t="s">
        <v>695</v>
      </c>
      <c r="F103" t="s">
        <v>703</v>
      </c>
      <c r="G103" t="s">
        <v>666</v>
      </c>
      <c r="H103">
        <v>2341.36</v>
      </c>
      <c r="I103">
        <v>421.44479999999976</v>
      </c>
      <c r="J103">
        <v>2762.8047999999999</v>
      </c>
    </row>
    <row r="104" spans="1:10" x14ac:dyDescent="0.3">
      <c r="A104" s="69">
        <v>43925</v>
      </c>
      <c r="B104" t="s">
        <v>843</v>
      </c>
      <c r="C104" s="70">
        <v>20389244431</v>
      </c>
      <c r="D104" t="s">
        <v>742</v>
      </c>
      <c r="E104" t="s">
        <v>692</v>
      </c>
      <c r="F104" t="s">
        <v>689</v>
      </c>
      <c r="G104" t="s">
        <v>669</v>
      </c>
      <c r="H104">
        <v>477</v>
      </c>
      <c r="I104">
        <v>85.860000000000014</v>
      </c>
      <c r="J104">
        <v>562.86</v>
      </c>
    </row>
    <row r="105" spans="1:10" x14ac:dyDescent="0.3">
      <c r="A105" s="69">
        <v>43926</v>
      </c>
      <c r="B105" t="s">
        <v>844</v>
      </c>
      <c r="C105" s="70">
        <v>20100037689</v>
      </c>
      <c r="D105" t="s">
        <v>744</v>
      </c>
      <c r="E105" t="s">
        <v>698</v>
      </c>
      <c r="F105" t="s">
        <v>689</v>
      </c>
      <c r="G105" t="s">
        <v>670</v>
      </c>
      <c r="H105">
        <v>250.8</v>
      </c>
      <c r="I105">
        <v>45.144000000000005</v>
      </c>
      <c r="J105">
        <v>295.94400000000002</v>
      </c>
    </row>
    <row r="106" spans="1:10" x14ac:dyDescent="0.3">
      <c r="A106" s="69">
        <v>43927</v>
      </c>
      <c r="B106" t="s">
        <v>845</v>
      </c>
      <c r="C106" s="70">
        <v>20267223735</v>
      </c>
      <c r="D106" t="s">
        <v>794</v>
      </c>
      <c r="E106" t="s">
        <v>692</v>
      </c>
      <c r="F106" t="s">
        <v>689</v>
      </c>
      <c r="G106" t="s">
        <v>670</v>
      </c>
      <c r="H106">
        <v>625</v>
      </c>
      <c r="I106">
        <v>112.5</v>
      </c>
      <c r="J106">
        <v>737.5</v>
      </c>
    </row>
    <row r="107" spans="1:10" x14ac:dyDescent="0.3">
      <c r="A107" s="69">
        <v>43928</v>
      </c>
      <c r="B107" t="s">
        <v>846</v>
      </c>
      <c r="C107" s="70">
        <v>20266352337</v>
      </c>
      <c r="D107" t="s">
        <v>702</v>
      </c>
      <c r="E107" t="s">
        <v>698</v>
      </c>
      <c r="F107" t="s">
        <v>703</v>
      </c>
      <c r="G107" t="s">
        <v>666</v>
      </c>
      <c r="H107">
        <v>2966.5</v>
      </c>
      <c r="I107">
        <v>533.9699999999998</v>
      </c>
      <c r="J107">
        <v>3500.47</v>
      </c>
    </row>
    <row r="108" spans="1:10" x14ac:dyDescent="0.3">
      <c r="A108" s="69">
        <v>43929</v>
      </c>
      <c r="B108" t="s">
        <v>847</v>
      </c>
      <c r="C108" s="70">
        <v>20258886420</v>
      </c>
      <c r="D108" t="s">
        <v>705</v>
      </c>
      <c r="E108" t="s">
        <v>692</v>
      </c>
      <c r="F108" t="s">
        <v>689</v>
      </c>
      <c r="G108" t="s">
        <v>666</v>
      </c>
      <c r="H108">
        <v>660</v>
      </c>
      <c r="I108">
        <v>118.79999999999995</v>
      </c>
      <c r="J108">
        <v>778.8</v>
      </c>
    </row>
    <row r="109" spans="1:10" x14ac:dyDescent="0.3">
      <c r="A109" s="69">
        <v>43930</v>
      </c>
      <c r="B109" t="s">
        <v>848</v>
      </c>
      <c r="C109" s="70">
        <v>20100051240</v>
      </c>
      <c r="D109" t="s">
        <v>708</v>
      </c>
      <c r="E109" t="s">
        <v>706</v>
      </c>
      <c r="F109" t="s">
        <v>689</v>
      </c>
      <c r="G109" t="s">
        <v>670</v>
      </c>
      <c r="H109">
        <v>2048.21</v>
      </c>
      <c r="I109">
        <v>368.67779999999993</v>
      </c>
      <c r="J109">
        <v>2416.8878</v>
      </c>
    </row>
    <row r="110" spans="1:10" x14ac:dyDescent="0.3">
      <c r="A110" s="69">
        <v>43931</v>
      </c>
      <c r="B110" t="s">
        <v>849</v>
      </c>
      <c r="C110" s="70">
        <v>20418141281</v>
      </c>
      <c r="D110" t="s">
        <v>710</v>
      </c>
      <c r="E110" t="s">
        <v>698</v>
      </c>
      <c r="F110" t="s">
        <v>689</v>
      </c>
      <c r="G110" t="s">
        <v>666</v>
      </c>
      <c r="H110">
        <v>519</v>
      </c>
      <c r="I110">
        <v>93.419999999999959</v>
      </c>
      <c r="J110">
        <v>612.41999999999996</v>
      </c>
    </row>
    <row r="111" spans="1:10" x14ac:dyDescent="0.3">
      <c r="A111" s="69">
        <v>43932</v>
      </c>
      <c r="B111" t="s">
        <v>850</v>
      </c>
      <c r="C111" s="70">
        <v>20122263143</v>
      </c>
      <c r="D111" t="s">
        <v>712</v>
      </c>
      <c r="E111" t="s">
        <v>695</v>
      </c>
      <c r="F111" t="s">
        <v>689</v>
      </c>
      <c r="G111" t="s">
        <v>668</v>
      </c>
      <c r="H111">
        <v>441.15</v>
      </c>
      <c r="I111">
        <v>79.406999999999925</v>
      </c>
      <c r="J111">
        <v>520.5569999999999</v>
      </c>
    </row>
    <row r="112" spans="1:10" x14ac:dyDescent="0.3">
      <c r="A112" s="69">
        <v>43933</v>
      </c>
      <c r="B112" t="s">
        <v>851</v>
      </c>
      <c r="C112" s="70">
        <v>20100261058</v>
      </c>
      <c r="D112" t="s">
        <v>803</v>
      </c>
      <c r="E112" t="s">
        <v>706</v>
      </c>
      <c r="F112" t="s">
        <v>703</v>
      </c>
      <c r="G112" t="s">
        <v>667</v>
      </c>
      <c r="H112">
        <v>1096.2</v>
      </c>
      <c r="I112">
        <v>197.31600000000003</v>
      </c>
      <c r="J112">
        <v>1293.5160000000001</v>
      </c>
    </row>
    <row r="113" spans="1:10" x14ac:dyDescent="0.3">
      <c r="A113" s="69">
        <v>43934</v>
      </c>
      <c r="B113" t="s">
        <v>852</v>
      </c>
      <c r="C113" s="70">
        <v>20100136741</v>
      </c>
      <c r="D113" t="s">
        <v>853</v>
      </c>
      <c r="E113" t="s">
        <v>692</v>
      </c>
      <c r="F113" t="s">
        <v>703</v>
      </c>
      <c r="G113" t="s">
        <v>667</v>
      </c>
      <c r="H113">
        <v>1979.23</v>
      </c>
      <c r="I113">
        <v>356.26139999999987</v>
      </c>
      <c r="J113">
        <v>2335.4913999999999</v>
      </c>
    </row>
    <row r="114" spans="1:10" x14ac:dyDescent="0.3">
      <c r="A114" s="69">
        <v>43935</v>
      </c>
      <c r="B114" t="s">
        <v>854</v>
      </c>
      <c r="C114" s="70">
        <v>20330011930</v>
      </c>
      <c r="D114" t="s">
        <v>716</v>
      </c>
      <c r="E114" t="s">
        <v>688</v>
      </c>
      <c r="F114" t="s">
        <v>689</v>
      </c>
      <c r="G114" t="s">
        <v>667</v>
      </c>
      <c r="H114">
        <v>2058.46</v>
      </c>
      <c r="I114">
        <v>370.52279999999973</v>
      </c>
      <c r="J114">
        <v>2428.9827999999998</v>
      </c>
    </row>
    <row r="115" spans="1:10" x14ac:dyDescent="0.3">
      <c r="A115" s="69">
        <v>43936</v>
      </c>
      <c r="B115" t="s">
        <v>855</v>
      </c>
      <c r="C115" s="70">
        <v>20100134455</v>
      </c>
      <c r="D115" t="s">
        <v>718</v>
      </c>
      <c r="E115" t="s">
        <v>688</v>
      </c>
      <c r="F115" t="s">
        <v>689</v>
      </c>
      <c r="G115" t="s">
        <v>667</v>
      </c>
      <c r="H115">
        <v>310</v>
      </c>
      <c r="I115">
        <v>55.799999999999955</v>
      </c>
      <c r="J115">
        <v>365.79999999999995</v>
      </c>
    </row>
    <row r="116" spans="1:10" x14ac:dyDescent="0.3">
      <c r="A116" s="69">
        <v>43937</v>
      </c>
      <c r="B116" t="s">
        <v>856</v>
      </c>
      <c r="C116" s="70">
        <v>20100562848</v>
      </c>
      <c r="D116" t="s">
        <v>697</v>
      </c>
      <c r="E116" t="s">
        <v>688</v>
      </c>
      <c r="F116" t="s">
        <v>689</v>
      </c>
      <c r="G116" t="s">
        <v>670</v>
      </c>
      <c r="H116">
        <v>70</v>
      </c>
      <c r="I116">
        <v>12.599999999999994</v>
      </c>
      <c r="J116">
        <v>82.6</v>
      </c>
    </row>
    <row r="117" spans="1:10" x14ac:dyDescent="0.3">
      <c r="A117" s="69">
        <v>43938</v>
      </c>
      <c r="B117" t="s">
        <v>857</v>
      </c>
      <c r="C117" s="70">
        <v>20100498902</v>
      </c>
      <c r="D117" t="s">
        <v>771</v>
      </c>
      <c r="E117" t="s">
        <v>698</v>
      </c>
      <c r="F117" t="s">
        <v>703</v>
      </c>
      <c r="G117" t="s">
        <v>666</v>
      </c>
      <c r="H117">
        <v>6379.4</v>
      </c>
      <c r="I117">
        <v>1148.2919999999995</v>
      </c>
      <c r="J117">
        <v>7527.6919999999991</v>
      </c>
    </row>
    <row r="118" spans="1:10" x14ac:dyDescent="0.3">
      <c r="A118" s="69">
        <v>43939</v>
      </c>
      <c r="B118" t="s">
        <v>858</v>
      </c>
      <c r="C118" s="70">
        <v>20377444257</v>
      </c>
      <c r="D118" t="s">
        <v>700</v>
      </c>
      <c r="E118" t="s">
        <v>695</v>
      </c>
      <c r="F118" t="s">
        <v>689</v>
      </c>
      <c r="G118" t="s">
        <v>668</v>
      </c>
      <c r="H118">
        <v>934.5</v>
      </c>
      <c r="I118">
        <v>168.21000000000004</v>
      </c>
      <c r="J118">
        <v>1102.71</v>
      </c>
    </row>
    <row r="119" spans="1:10" x14ac:dyDescent="0.3">
      <c r="A119" s="69">
        <v>43940</v>
      </c>
      <c r="B119" t="s">
        <v>859</v>
      </c>
      <c r="C119" s="70">
        <v>20266352337</v>
      </c>
      <c r="D119" t="s">
        <v>702</v>
      </c>
      <c r="E119" t="s">
        <v>688</v>
      </c>
      <c r="F119" t="s">
        <v>703</v>
      </c>
      <c r="G119" t="s">
        <v>666</v>
      </c>
      <c r="H119">
        <v>932.05</v>
      </c>
      <c r="I119">
        <v>167.76900000000001</v>
      </c>
      <c r="J119">
        <v>1099.819</v>
      </c>
    </row>
    <row r="120" spans="1:10" x14ac:dyDescent="0.3">
      <c r="A120" s="69">
        <v>43941</v>
      </c>
      <c r="B120" t="s">
        <v>860</v>
      </c>
      <c r="C120" s="70">
        <v>20258886420</v>
      </c>
      <c r="D120" t="s">
        <v>705</v>
      </c>
      <c r="E120" t="s">
        <v>688</v>
      </c>
      <c r="F120" t="s">
        <v>703</v>
      </c>
      <c r="G120" t="s">
        <v>666</v>
      </c>
      <c r="H120">
        <v>858</v>
      </c>
      <c r="I120">
        <v>154.43999999999994</v>
      </c>
      <c r="J120">
        <v>1012.4399999999999</v>
      </c>
    </row>
    <row r="121" spans="1:10" x14ac:dyDescent="0.3">
      <c r="A121" s="69">
        <v>43942</v>
      </c>
      <c r="B121" t="s">
        <v>861</v>
      </c>
      <c r="C121" s="70">
        <v>20100051240</v>
      </c>
      <c r="D121" t="s">
        <v>708</v>
      </c>
      <c r="E121" t="s">
        <v>692</v>
      </c>
      <c r="F121" t="s">
        <v>703</v>
      </c>
      <c r="G121" t="s">
        <v>666</v>
      </c>
      <c r="H121">
        <v>1447.5</v>
      </c>
      <c r="I121">
        <v>260.54999999999995</v>
      </c>
      <c r="J121">
        <v>1708.05</v>
      </c>
    </row>
    <row r="122" spans="1:10" x14ac:dyDescent="0.3">
      <c r="A122" s="69">
        <v>43943</v>
      </c>
      <c r="B122" t="s">
        <v>862</v>
      </c>
      <c r="C122" s="70">
        <v>20503493650</v>
      </c>
      <c r="D122" t="s">
        <v>775</v>
      </c>
      <c r="E122" t="s">
        <v>688</v>
      </c>
      <c r="F122" t="s">
        <v>703</v>
      </c>
      <c r="G122" t="s">
        <v>667</v>
      </c>
      <c r="H122">
        <v>742.5</v>
      </c>
      <c r="I122">
        <v>133.64999999999998</v>
      </c>
      <c r="J122">
        <v>876.15</v>
      </c>
    </row>
    <row r="123" spans="1:10" x14ac:dyDescent="0.3">
      <c r="A123" s="69">
        <v>43944</v>
      </c>
      <c r="B123" t="s">
        <v>863</v>
      </c>
      <c r="C123" s="70">
        <v>20301708816</v>
      </c>
      <c r="D123" t="s">
        <v>777</v>
      </c>
      <c r="E123" t="s">
        <v>688</v>
      </c>
      <c r="F123" t="s">
        <v>703</v>
      </c>
      <c r="G123" t="s">
        <v>666</v>
      </c>
      <c r="H123">
        <v>475.15</v>
      </c>
      <c r="I123">
        <v>85.52699999999993</v>
      </c>
      <c r="J123">
        <v>560.67699999999991</v>
      </c>
    </row>
    <row r="124" spans="1:10" x14ac:dyDescent="0.3">
      <c r="A124" s="69">
        <v>43945</v>
      </c>
      <c r="B124" t="s">
        <v>864</v>
      </c>
      <c r="C124" s="70">
        <v>20263674929</v>
      </c>
      <c r="D124" t="s">
        <v>736</v>
      </c>
      <c r="E124" t="s">
        <v>692</v>
      </c>
      <c r="F124" t="s">
        <v>689</v>
      </c>
      <c r="G124" t="s">
        <v>670</v>
      </c>
      <c r="H124">
        <v>1788.63</v>
      </c>
      <c r="I124">
        <v>321.95339999999987</v>
      </c>
      <c r="J124">
        <v>2110.5834</v>
      </c>
    </row>
    <row r="125" spans="1:10" x14ac:dyDescent="0.3">
      <c r="A125" s="69">
        <v>43946</v>
      </c>
      <c r="B125" t="s">
        <v>865</v>
      </c>
      <c r="C125" s="70">
        <v>20307791936</v>
      </c>
      <c r="D125" t="s">
        <v>782</v>
      </c>
      <c r="E125" t="s">
        <v>688</v>
      </c>
      <c r="F125" t="s">
        <v>703</v>
      </c>
      <c r="G125" t="s">
        <v>666</v>
      </c>
      <c r="H125">
        <v>456</v>
      </c>
      <c r="I125">
        <v>82.079999999999927</v>
      </c>
      <c r="J125">
        <v>538.07999999999993</v>
      </c>
    </row>
    <row r="126" spans="1:10" x14ac:dyDescent="0.3">
      <c r="A126" s="69">
        <v>43947</v>
      </c>
      <c r="B126" t="s">
        <v>866</v>
      </c>
      <c r="C126" s="70">
        <v>20338735651</v>
      </c>
      <c r="D126" t="s">
        <v>835</v>
      </c>
      <c r="E126" t="s">
        <v>692</v>
      </c>
      <c r="F126" t="s">
        <v>689</v>
      </c>
      <c r="G126" t="s">
        <v>670</v>
      </c>
      <c r="H126">
        <v>360</v>
      </c>
      <c r="I126">
        <v>64.799999999999955</v>
      </c>
      <c r="J126">
        <v>424.79999999999995</v>
      </c>
    </row>
    <row r="127" spans="1:10" x14ac:dyDescent="0.3">
      <c r="A127" s="69">
        <v>43948</v>
      </c>
      <c r="B127" t="s">
        <v>867</v>
      </c>
      <c r="C127" s="70">
        <v>20257364608</v>
      </c>
      <c r="D127" t="s">
        <v>764</v>
      </c>
      <c r="E127" t="s">
        <v>692</v>
      </c>
      <c r="F127" t="s">
        <v>689</v>
      </c>
      <c r="G127" t="s">
        <v>666</v>
      </c>
      <c r="H127">
        <v>220</v>
      </c>
      <c r="I127">
        <v>39.599999999999966</v>
      </c>
      <c r="J127">
        <v>259.59999999999997</v>
      </c>
    </row>
    <row r="128" spans="1:10" x14ac:dyDescent="0.3">
      <c r="A128" s="69">
        <v>43949</v>
      </c>
      <c r="B128" t="s">
        <v>868</v>
      </c>
      <c r="C128" s="70">
        <v>20160641810</v>
      </c>
      <c r="D128" t="s">
        <v>687</v>
      </c>
      <c r="E128" t="s">
        <v>688</v>
      </c>
      <c r="F128" t="s">
        <v>703</v>
      </c>
      <c r="G128" t="s">
        <v>666</v>
      </c>
      <c r="H128">
        <v>2362.25</v>
      </c>
      <c r="I128">
        <v>425.20499999999993</v>
      </c>
      <c r="J128">
        <v>2787.4549999999999</v>
      </c>
    </row>
    <row r="129" spans="1:10" x14ac:dyDescent="0.3">
      <c r="A129" s="69">
        <v>43950</v>
      </c>
      <c r="B129" t="s">
        <v>869</v>
      </c>
      <c r="C129" s="70">
        <v>20390473142</v>
      </c>
      <c r="D129" t="s">
        <v>691</v>
      </c>
      <c r="E129" t="s">
        <v>692</v>
      </c>
      <c r="F129" t="s">
        <v>689</v>
      </c>
      <c r="G129" t="s">
        <v>669</v>
      </c>
      <c r="H129">
        <v>4422</v>
      </c>
      <c r="I129">
        <v>795.96</v>
      </c>
      <c r="J129">
        <v>5217.96</v>
      </c>
    </row>
    <row r="130" spans="1:10" x14ac:dyDescent="0.3">
      <c r="A130" s="69">
        <v>43951</v>
      </c>
      <c r="B130" t="s">
        <v>870</v>
      </c>
      <c r="C130" s="70">
        <v>20213053915</v>
      </c>
      <c r="D130" t="s">
        <v>789</v>
      </c>
      <c r="E130" t="s">
        <v>698</v>
      </c>
      <c r="F130" t="s">
        <v>689</v>
      </c>
      <c r="G130" t="s">
        <v>670</v>
      </c>
      <c r="H130">
        <v>74.400000000000006</v>
      </c>
      <c r="I130">
        <v>13.391999999999996</v>
      </c>
      <c r="J130">
        <v>87.792000000000002</v>
      </c>
    </row>
    <row r="131" spans="1:10" x14ac:dyDescent="0.3">
      <c r="A131" s="69">
        <v>43952</v>
      </c>
      <c r="B131" t="s">
        <v>871</v>
      </c>
      <c r="C131" s="70">
        <v>20100498902</v>
      </c>
      <c r="D131" t="s">
        <v>771</v>
      </c>
      <c r="E131" t="s">
        <v>688</v>
      </c>
      <c r="F131" t="s">
        <v>689</v>
      </c>
      <c r="G131" t="s">
        <v>670</v>
      </c>
      <c r="H131">
        <v>1762.7</v>
      </c>
      <c r="I131">
        <v>317.28599999999983</v>
      </c>
      <c r="J131">
        <v>2079.9859999999999</v>
      </c>
    </row>
    <row r="132" spans="1:10" x14ac:dyDescent="0.3">
      <c r="A132" s="69">
        <v>43953</v>
      </c>
      <c r="B132" t="s">
        <v>872</v>
      </c>
      <c r="C132" s="70">
        <v>20267223735</v>
      </c>
      <c r="D132" t="s">
        <v>794</v>
      </c>
      <c r="E132" t="s">
        <v>695</v>
      </c>
      <c r="F132" t="s">
        <v>703</v>
      </c>
      <c r="G132" t="s">
        <v>666</v>
      </c>
      <c r="H132">
        <v>265.35000000000002</v>
      </c>
      <c r="I132">
        <v>47.762999999999977</v>
      </c>
      <c r="J132">
        <v>313.113</v>
      </c>
    </row>
    <row r="133" spans="1:10" x14ac:dyDescent="0.3">
      <c r="A133" s="69">
        <v>43954</v>
      </c>
      <c r="B133" t="s">
        <v>873</v>
      </c>
      <c r="C133" s="70">
        <v>20266352337</v>
      </c>
      <c r="D133" t="s">
        <v>702</v>
      </c>
      <c r="E133" t="s">
        <v>688</v>
      </c>
      <c r="F133" t="s">
        <v>689</v>
      </c>
      <c r="G133" t="s">
        <v>670</v>
      </c>
      <c r="H133">
        <v>1586</v>
      </c>
      <c r="I133">
        <v>285.47999999999979</v>
      </c>
      <c r="J133">
        <v>1871.4799999999998</v>
      </c>
    </row>
    <row r="134" spans="1:10" x14ac:dyDescent="0.3">
      <c r="A134" s="69">
        <v>43955</v>
      </c>
      <c r="B134" t="s">
        <v>874</v>
      </c>
      <c r="C134" s="70">
        <v>20122263143</v>
      </c>
      <c r="D134" t="s">
        <v>712</v>
      </c>
      <c r="E134" t="s">
        <v>698</v>
      </c>
      <c r="F134" t="s">
        <v>689</v>
      </c>
      <c r="G134" t="s">
        <v>669</v>
      </c>
      <c r="H134">
        <v>1733.06</v>
      </c>
      <c r="I134">
        <v>311.95079999999984</v>
      </c>
      <c r="J134">
        <v>2045.0107999999998</v>
      </c>
    </row>
    <row r="135" spans="1:10" x14ac:dyDescent="0.3">
      <c r="A135" s="69">
        <v>43956</v>
      </c>
      <c r="B135" t="s">
        <v>875</v>
      </c>
      <c r="C135" s="70">
        <v>20100136741</v>
      </c>
      <c r="D135" t="s">
        <v>853</v>
      </c>
      <c r="E135" t="s">
        <v>698</v>
      </c>
      <c r="F135" t="s">
        <v>689</v>
      </c>
      <c r="G135" t="s">
        <v>670</v>
      </c>
      <c r="H135">
        <v>2233</v>
      </c>
      <c r="I135">
        <v>401.94000000000005</v>
      </c>
      <c r="J135">
        <v>2634.94</v>
      </c>
    </row>
    <row r="136" spans="1:10" x14ac:dyDescent="0.3">
      <c r="A136" s="69">
        <v>43957</v>
      </c>
      <c r="B136" t="s">
        <v>876</v>
      </c>
      <c r="C136" s="70">
        <v>20330011930</v>
      </c>
      <c r="D136" t="s">
        <v>716</v>
      </c>
      <c r="E136" t="s">
        <v>698</v>
      </c>
      <c r="F136" t="s">
        <v>703</v>
      </c>
      <c r="G136" t="s">
        <v>670</v>
      </c>
      <c r="H136">
        <v>4813.5</v>
      </c>
      <c r="I136">
        <v>866.42999999999938</v>
      </c>
      <c r="J136">
        <v>5679.9299999999994</v>
      </c>
    </row>
    <row r="137" spans="1:10" x14ac:dyDescent="0.3">
      <c r="A137" s="69">
        <v>43958</v>
      </c>
      <c r="B137" t="s">
        <v>877</v>
      </c>
      <c r="C137" s="70">
        <v>20100073723</v>
      </c>
      <c r="D137" t="s">
        <v>720</v>
      </c>
      <c r="E137" t="s">
        <v>692</v>
      </c>
      <c r="F137" t="s">
        <v>689</v>
      </c>
      <c r="G137" t="s">
        <v>669</v>
      </c>
      <c r="H137">
        <v>1014</v>
      </c>
      <c r="I137">
        <v>182.51999999999998</v>
      </c>
      <c r="J137">
        <v>1196.52</v>
      </c>
    </row>
    <row r="138" spans="1:10" x14ac:dyDescent="0.3">
      <c r="A138" s="69">
        <v>43959</v>
      </c>
      <c r="B138" t="s">
        <v>878</v>
      </c>
      <c r="C138" s="70">
        <v>20204441007</v>
      </c>
      <c r="D138" t="s">
        <v>821</v>
      </c>
      <c r="E138" t="s">
        <v>698</v>
      </c>
      <c r="F138" t="s">
        <v>689</v>
      </c>
      <c r="G138" t="s">
        <v>670</v>
      </c>
      <c r="H138">
        <v>2772</v>
      </c>
      <c r="I138">
        <v>498.96000000000004</v>
      </c>
      <c r="J138">
        <v>3270.96</v>
      </c>
    </row>
    <row r="139" spans="1:10" x14ac:dyDescent="0.3">
      <c r="A139" s="69">
        <v>43960</v>
      </c>
      <c r="B139" t="s">
        <v>879</v>
      </c>
      <c r="C139" s="70">
        <v>20305354563</v>
      </c>
      <c r="D139" t="s">
        <v>722</v>
      </c>
      <c r="E139" t="s">
        <v>698</v>
      </c>
      <c r="F139" t="s">
        <v>703</v>
      </c>
      <c r="G139" t="s">
        <v>669</v>
      </c>
      <c r="H139">
        <v>4288.8500000000004</v>
      </c>
      <c r="I139">
        <v>771.99299999999948</v>
      </c>
      <c r="J139">
        <v>5060.8429999999998</v>
      </c>
    </row>
    <row r="140" spans="1:10" x14ac:dyDescent="0.3">
      <c r="A140" s="69">
        <v>43961</v>
      </c>
      <c r="B140" t="s">
        <v>880</v>
      </c>
      <c r="C140" s="70">
        <v>20101908781</v>
      </c>
      <c r="D140" t="s">
        <v>724</v>
      </c>
      <c r="E140" t="s">
        <v>698</v>
      </c>
      <c r="F140" t="s">
        <v>703</v>
      </c>
      <c r="G140" t="s">
        <v>669</v>
      </c>
      <c r="H140">
        <v>2769</v>
      </c>
      <c r="I140">
        <v>498.41999999999962</v>
      </c>
      <c r="J140">
        <v>3267.4199999999996</v>
      </c>
    </row>
    <row r="141" spans="1:10" x14ac:dyDescent="0.3">
      <c r="A141" s="69">
        <v>43962</v>
      </c>
      <c r="B141" t="s">
        <v>881</v>
      </c>
      <c r="C141" s="70">
        <v>20108572958</v>
      </c>
      <c r="D141" t="s">
        <v>823</v>
      </c>
      <c r="E141" t="s">
        <v>688</v>
      </c>
      <c r="F141" t="s">
        <v>703</v>
      </c>
      <c r="G141" t="s">
        <v>666</v>
      </c>
      <c r="H141">
        <v>329.69</v>
      </c>
      <c r="I141">
        <v>59.344200000000001</v>
      </c>
      <c r="J141">
        <v>389.0342</v>
      </c>
    </row>
    <row r="142" spans="1:10" x14ac:dyDescent="0.3">
      <c r="A142" s="69">
        <v>43963</v>
      </c>
      <c r="B142" t="s">
        <v>882</v>
      </c>
      <c r="C142" s="70">
        <v>20143988725</v>
      </c>
      <c r="D142" t="s">
        <v>825</v>
      </c>
      <c r="E142" t="s">
        <v>688</v>
      </c>
      <c r="F142" t="s">
        <v>689</v>
      </c>
      <c r="G142" t="s">
        <v>669</v>
      </c>
      <c r="H142">
        <v>616.5</v>
      </c>
      <c r="I142">
        <v>110.96999999999991</v>
      </c>
      <c r="J142">
        <v>727.46999999999991</v>
      </c>
    </row>
    <row r="143" spans="1:10" x14ac:dyDescent="0.3">
      <c r="A143" s="69">
        <v>43964</v>
      </c>
      <c r="B143" t="s">
        <v>883</v>
      </c>
      <c r="C143" s="70">
        <v>20102154046</v>
      </c>
      <c r="D143" t="s">
        <v>726</v>
      </c>
      <c r="E143" t="s">
        <v>706</v>
      </c>
      <c r="F143" t="s">
        <v>703</v>
      </c>
      <c r="G143" t="s">
        <v>666</v>
      </c>
      <c r="H143">
        <v>933.5</v>
      </c>
      <c r="I143">
        <v>168.02999999999997</v>
      </c>
      <c r="J143">
        <v>1101.53</v>
      </c>
    </row>
    <row r="144" spans="1:10" x14ac:dyDescent="0.3">
      <c r="A144" s="69">
        <v>43965</v>
      </c>
      <c r="B144" t="s">
        <v>884</v>
      </c>
      <c r="C144" s="70">
        <v>20100118760</v>
      </c>
      <c r="D144" t="s">
        <v>885</v>
      </c>
      <c r="E144" t="s">
        <v>706</v>
      </c>
      <c r="F144" t="s">
        <v>689</v>
      </c>
      <c r="G144" t="s">
        <v>669</v>
      </c>
      <c r="H144">
        <v>491.5</v>
      </c>
      <c r="I144">
        <v>88.469999999999914</v>
      </c>
      <c r="J144">
        <v>579.96999999999991</v>
      </c>
    </row>
    <row r="145" spans="1:10" x14ac:dyDescent="0.3">
      <c r="A145" s="69">
        <v>43966</v>
      </c>
      <c r="B145" t="s">
        <v>886</v>
      </c>
      <c r="C145" s="70">
        <v>20100129028</v>
      </c>
      <c r="D145" t="s">
        <v>828</v>
      </c>
      <c r="E145" t="s">
        <v>698</v>
      </c>
      <c r="F145" t="s">
        <v>703</v>
      </c>
      <c r="G145" t="s">
        <v>669</v>
      </c>
      <c r="H145">
        <v>6750</v>
      </c>
      <c r="I145">
        <v>1215</v>
      </c>
      <c r="J145">
        <v>7965</v>
      </c>
    </row>
    <row r="146" spans="1:10" x14ac:dyDescent="0.3">
      <c r="A146" s="69">
        <v>43967</v>
      </c>
      <c r="B146" t="s">
        <v>887</v>
      </c>
      <c r="C146" s="70">
        <v>20503493650</v>
      </c>
      <c r="D146" t="s">
        <v>775</v>
      </c>
      <c r="E146" t="s">
        <v>688</v>
      </c>
      <c r="F146" t="s">
        <v>703</v>
      </c>
      <c r="G146" t="s">
        <v>666</v>
      </c>
      <c r="H146">
        <v>1402</v>
      </c>
      <c r="I146">
        <v>252.3599999999999</v>
      </c>
      <c r="J146">
        <v>1654.36</v>
      </c>
    </row>
    <row r="147" spans="1:10" x14ac:dyDescent="0.3">
      <c r="A147" s="69">
        <v>43968</v>
      </c>
      <c r="B147" t="s">
        <v>888</v>
      </c>
      <c r="C147" s="70">
        <v>20112999621</v>
      </c>
      <c r="D147" t="s">
        <v>760</v>
      </c>
      <c r="E147" t="s">
        <v>698</v>
      </c>
      <c r="F147" t="s">
        <v>689</v>
      </c>
      <c r="G147" t="s">
        <v>670</v>
      </c>
      <c r="H147">
        <v>1692</v>
      </c>
      <c r="I147">
        <v>304.55999999999995</v>
      </c>
      <c r="J147">
        <v>1996.56</v>
      </c>
    </row>
    <row r="148" spans="1:10" x14ac:dyDescent="0.3">
      <c r="A148" s="69">
        <v>43969</v>
      </c>
      <c r="B148" t="s">
        <v>889</v>
      </c>
      <c r="C148" s="70">
        <v>20330011930</v>
      </c>
      <c r="D148" t="s">
        <v>716</v>
      </c>
      <c r="E148" t="s">
        <v>698</v>
      </c>
      <c r="F148" t="s">
        <v>689</v>
      </c>
      <c r="G148" t="s">
        <v>666</v>
      </c>
      <c r="H148">
        <v>1773</v>
      </c>
      <c r="I148">
        <v>319.13999999999987</v>
      </c>
      <c r="J148">
        <v>2092.14</v>
      </c>
    </row>
    <row r="149" spans="1:10" x14ac:dyDescent="0.3">
      <c r="A149" s="69">
        <v>43970</v>
      </c>
      <c r="B149" t="s">
        <v>890</v>
      </c>
      <c r="C149" s="70">
        <v>20100134455</v>
      </c>
      <c r="D149" t="s">
        <v>718</v>
      </c>
      <c r="E149" t="s">
        <v>698</v>
      </c>
      <c r="F149" t="s">
        <v>689</v>
      </c>
      <c r="G149" t="s">
        <v>669</v>
      </c>
      <c r="H149">
        <v>405.75</v>
      </c>
      <c r="I149">
        <v>73.034999999999968</v>
      </c>
      <c r="J149">
        <v>478.78499999999997</v>
      </c>
    </row>
    <row r="150" spans="1:10" x14ac:dyDescent="0.3">
      <c r="A150" s="69">
        <v>43971</v>
      </c>
      <c r="B150" t="s">
        <v>891</v>
      </c>
      <c r="C150" s="70">
        <v>20100073723</v>
      </c>
      <c r="D150" t="s">
        <v>720</v>
      </c>
      <c r="E150" t="s">
        <v>698</v>
      </c>
      <c r="F150" t="s">
        <v>689</v>
      </c>
      <c r="G150" t="s">
        <v>670</v>
      </c>
      <c r="H150">
        <v>1485.8</v>
      </c>
      <c r="I150">
        <v>267.44399999999996</v>
      </c>
      <c r="J150">
        <v>1753.2439999999999</v>
      </c>
    </row>
    <row r="151" spans="1:10" x14ac:dyDescent="0.3">
      <c r="A151" s="69">
        <v>43972</v>
      </c>
      <c r="B151" t="s">
        <v>892</v>
      </c>
      <c r="C151" s="70">
        <v>20100012856</v>
      </c>
      <c r="D151" t="s">
        <v>893</v>
      </c>
      <c r="E151" t="s">
        <v>688</v>
      </c>
      <c r="F151" t="s">
        <v>703</v>
      </c>
      <c r="G151" t="s">
        <v>666</v>
      </c>
      <c r="H151">
        <v>273.60000000000002</v>
      </c>
      <c r="I151">
        <v>49.24799999999999</v>
      </c>
      <c r="J151">
        <v>322.84800000000001</v>
      </c>
    </row>
    <row r="152" spans="1:10" x14ac:dyDescent="0.3">
      <c r="A152" s="69">
        <v>43973</v>
      </c>
      <c r="B152" t="s">
        <v>894</v>
      </c>
      <c r="C152" s="70">
        <v>20101908781</v>
      </c>
      <c r="D152" t="s">
        <v>724</v>
      </c>
      <c r="E152" t="s">
        <v>698</v>
      </c>
      <c r="F152" t="s">
        <v>689</v>
      </c>
      <c r="G152" t="s">
        <v>670</v>
      </c>
      <c r="H152">
        <v>810</v>
      </c>
      <c r="I152">
        <v>145.79999999999995</v>
      </c>
      <c r="J152">
        <v>955.8</v>
      </c>
    </row>
    <row r="153" spans="1:10" x14ac:dyDescent="0.3">
      <c r="A153" s="69">
        <v>43974</v>
      </c>
      <c r="B153" t="s">
        <v>895</v>
      </c>
      <c r="C153" s="70">
        <v>20108572958</v>
      </c>
      <c r="D153" t="s">
        <v>823</v>
      </c>
      <c r="E153" t="s">
        <v>688</v>
      </c>
      <c r="F153" t="s">
        <v>703</v>
      </c>
      <c r="G153" t="s">
        <v>666</v>
      </c>
      <c r="H153">
        <v>1332</v>
      </c>
      <c r="I153">
        <v>239.76</v>
      </c>
      <c r="J153">
        <v>1571.76</v>
      </c>
    </row>
    <row r="154" spans="1:10" x14ac:dyDescent="0.3">
      <c r="A154" s="69">
        <v>43975</v>
      </c>
      <c r="B154" t="s">
        <v>896</v>
      </c>
      <c r="C154" s="70">
        <v>20108056941</v>
      </c>
      <c r="D154" t="s">
        <v>897</v>
      </c>
      <c r="E154" t="s">
        <v>692</v>
      </c>
      <c r="F154" t="s">
        <v>689</v>
      </c>
      <c r="G154" t="s">
        <v>670</v>
      </c>
      <c r="H154">
        <v>305</v>
      </c>
      <c r="I154">
        <v>54.899999999999977</v>
      </c>
      <c r="J154">
        <v>359.9</v>
      </c>
    </row>
    <row r="155" spans="1:10" x14ac:dyDescent="0.3">
      <c r="A155" s="69">
        <v>43976</v>
      </c>
      <c r="B155" t="s">
        <v>898</v>
      </c>
      <c r="C155" s="70">
        <v>20102154046</v>
      </c>
      <c r="D155" t="s">
        <v>726</v>
      </c>
      <c r="E155" t="s">
        <v>698</v>
      </c>
      <c r="F155" t="s">
        <v>689</v>
      </c>
      <c r="G155" t="s">
        <v>670</v>
      </c>
      <c r="H155">
        <v>3740</v>
      </c>
      <c r="I155">
        <v>673.19999999999982</v>
      </c>
      <c r="J155">
        <v>4413.2</v>
      </c>
    </row>
    <row r="156" spans="1:10" x14ac:dyDescent="0.3">
      <c r="A156" s="69">
        <v>43977</v>
      </c>
      <c r="B156" t="s">
        <v>899</v>
      </c>
      <c r="C156" s="70">
        <v>20297687655</v>
      </c>
      <c r="D156" t="s">
        <v>728</v>
      </c>
      <c r="E156" t="s">
        <v>692</v>
      </c>
      <c r="F156" t="s">
        <v>703</v>
      </c>
      <c r="G156" t="s">
        <v>666</v>
      </c>
      <c r="H156">
        <v>858</v>
      </c>
      <c r="I156">
        <v>154.43999999999994</v>
      </c>
      <c r="J156">
        <v>1012.4399999999999</v>
      </c>
    </row>
    <row r="157" spans="1:10" x14ac:dyDescent="0.3">
      <c r="A157" s="69">
        <v>43978</v>
      </c>
      <c r="B157" t="s">
        <v>900</v>
      </c>
      <c r="C157" s="70">
        <v>20100067596</v>
      </c>
      <c r="D157" t="s">
        <v>730</v>
      </c>
      <c r="E157" t="s">
        <v>698</v>
      </c>
      <c r="F157" t="s">
        <v>689</v>
      </c>
      <c r="G157" t="s">
        <v>668</v>
      </c>
      <c r="H157">
        <v>5218</v>
      </c>
      <c r="I157">
        <v>939.23999999999978</v>
      </c>
      <c r="J157">
        <v>6157.24</v>
      </c>
    </row>
    <row r="158" spans="1:10" x14ac:dyDescent="0.3">
      <c r="A158" s="69">
        <v>43979</v>
      </c>
      <c r="B158" t="s">
        <v>901</v>
      </c>
      <c r="C158" s="70">
        <v>20377444257</v>
      </c>
      <c r="D158" t="s">
        <v>700</v>
      </c>
      <c r="E158" t="s">
        <v>695</v>
      </c>
      <c r="F158" t="s">
        <v>689</v>
      </c>
      <c r="G158" t="s">
        <v>668</v>
      </c>
      <c r="H158">
        <v>934.5</v>
      </c>
      <c r="I158">
        <v>168.21000000000004</v>
      </c>
      <c r="J158">
        <v>1102.71</v>
      </c>
    </row>
    <row r="159" spans="1:10" x14ac:dyDescent="0.3">
      <c r="A159" s="69">
        <v>43980</v>
      </c>
      <c r="B159" t="s">
        <v>902</v>
      </c>
      <c r="C159" s="70">
        <v>20266352337</v>
      </c>
      <c r="D159" t="s">
        <v>702</v>
      </c>
      <c r="E159" t="s">
        <v>688</v>
      </c>
      <c r="F159" t="s">
        <v>703</v>
      </c>
      <c r="G159" t="s">
        <v>666</v>
      </c>
      <c r="H159">
        <v>932.05</v>
      </c>
      <c r="I159">
        <v>167.76900000000001</v>
      </c>
      <c r="J159">
        <v>1099.819</v>
      </c>
    </row>
    <row r="160" spans="1:10" x14ac:dyDescent="0.3">
      <c r="A160" s="69">
        <v>43981</v>
      </c>
      <c r="B160" t="s">
        <v>903</v>
      </c>
      <c r="C160" s="70">
        <v>20258886420</v>
      </c>
      <c r="D160" t="s">
        <v>705</v>
      </c>
      <c r="E160" t="s">
        <v>688</v>
      </c>
      <c r="F160" t="s">
        <v>703</v>
      </c>
      <c r="G160" t="s">
        <v>666</v>
      </c>
      <c r="H160">
        <v>858</v>
      </c>
      <c r="I160">
        <v>154.43999999999994</v>
      </c>
      <c r="J160">
        <v>1012.4399999999999</v>
      </c>
    </row>
    <row r="161" spans="1:10" x14ac:dyDescent="0.3">
      <c r="A161" s="69">
        <v>43982</v>
      </c>
      <c r="B161" t="s">
        <v>904</v>
      </c>
      <c r="C161" s="70">
        <v>20100051240</v>
      </c>
      <c r="D161" t="s">
        <v>708</v>
      </c>
      <c r="E161" t="s">
        <v>692</v>
      </c>
      <c r="F161" t="s">
        <v>703</v>
      </c>
      <c r="G161" t="s">
        <v>666</v>
      </c>
      <c r="H161">
        <v>1447.5</v>
      </c>
      <c r="I161">
        <v>260.54999999999995</v>
      </c>
      <c r="J161">
        <v>1708.05</v>
      </c>
    </row>
    <row r="162" spans="1:10" x14ac:dyDescent="0.3">
      <c r="A162" s="69">
        <v>43983</v>
      </c>
      <c r="B162" t="s">
        <v>905</v>
      </c>
      <c r="C162" s="70">
        <v>20503493650</v>
      </c>
      <c r="D162" t="s">
        <v>775</v>
      </c>
      <c r="E162" t="s">
        <v>688</v>
      </c>
      <c r="F162" t="s">
        <v>703</v>
      </c>
      <c r="G162" t="s">
        <v>667</v>
      </c>
      <c r="H162">
        <v>742.5</v>
      </c>
      <c r="I162">
        <v>133.64999999999998</v>
      </c>
      <c r="J162">
        <v>876.15</v>
      </c>
    </row>
    <row r="163" spans="1:10" x14ac:dyDescent="0.3">
      <c r="A163" s="69">
        <v>43984</v>
      </c>
      <c r="B163" t="s">
        <v>906</v>
      </c>
      <c r="C163" s="70">
        <v>20301708816</v>
      </c>
      <c r="D163" t="s">
        <v>777</v>
      </c>
      <c r="E163" t="s">
        <v>688</v>
      </c>
      <c r="F163" t="s">
        <v>703</v>
      </c>
      <c r="G163" t="s">
        <v>666</v>
      </c>
      <c r="H163">
        <v>475.15</v>
      </c>
      <c r="I163">
        <v>85.52699999999993</v>
      </c>
      <c r="J163">
        <v>560.67699999999991</v>
      </c>
    </row>
    <row r="164" spans="1:10" x14ac:dyDescent="0.3">
      <c r="A164" s="69">
        <v>43985</v>
      </c>
      <c r="B164" t="s">
        <v>907</v>
      </c>
      <c r="C164" s="70">
        <v>20263674929</v>
      </c>
      <c r="D164" t="s">
        <v>736</v>
      </c>
      <c r="E164" t="s">
        <v>692</v>
      </c>
      <c r="F164" t="s">
        <v>689</v>
      </c>
      <c r="G164" t="s">
        <v>670</v>
      </c>
      <c r="H164">
        <v>1788.63</v>
      </c>
      <c r="I164">
        <v>321.95339999999987</v>
      </c>
      <c r="J164">
        <v>2110.5834</v>
      </c>
    </row>
    <row r="165" spans="1:10" x14ac:dyDescent="0.3">
      <c r="A165" s="69">
        <v>43986</v>
      </c>
      <c r="B165" t="s">
        <v>908</v>
      </c>
      <c r="C165" s="70">
        <v>20307791936</v>
      </c>
      <c r="D165" t="s">
        <v>782</v>
      </c>
      <c r="E165" t="s">
        <v>688</v>
      </c>
      <c r="F165" t="s">
        <v>703</v>
      </c>
      <c r="G165" t="s">
        <v>666</v>
      </c>
      <c r="H165">
        <v>456</v>
      </c>
      <c r="I165">
        <v>82.079999999999927</v>
      </c>
      <c r="J165">
        <v>538.07999999999993</v>
      </c>
    </row>
    <row r="166" spans="1:10" x14ac:dyDescent="0.3">
      <c r="A166" s="69">
        <v>43987</v>
      </c>
      <c r="B166" t="s">
        <v>909</v>
      </c>
      <c r="C166" s="70">
        <v>20338735651</v>
      </c>
      <c r="D166" t="s">
        <v>835</v>
      </c>
      <c r="E166" t="s">
        <v>692</v>
      </c>
      <c r="F166" t="s">
        <v>689</v>
      </c>
      <c r="G166" t="s">
        <v>670</v>
      </c>
      <c r="H166">
        <v>360</v>
      </c>
      <c r="I166">
        <v>64.799999999999955</v>
      </c>
      <c r="J166">
        <v>424.79999999999995</v>
      </c>
    </row>
    <row r="167" spans="1:10" x14ac:dyDescent="0.3">
      <c r="A167" s="69">
        <v>43988</v>
      </c>
      <c r="B167" t="s">
        <v>910</v>
      </c>
      <c r="C167" s="70">
        <v>20257364608</v>
      </c>
      <c r="D167" t="s">
        <v>764</v>
      </c>
      <c r="E167" t="s">
        <v>692</v>
      </c>
      <c r="F167" t="s">
        <v>689</v>
      </c>
      <c r="G167" t="s">
        <v>666</v>
      </c>
      <c r="H167">
        <v>220</v>
      </c>
      <c r="I167">
        <v>39.599999999999966</v>
      </c>
      <c r="J167">
        <v>259.59999999999997</v>
      </c>
    </row>
    <row r="168" spans="1:10" x14ac:dyDescent="0.3">
      <c r="A168" s="69">
        <v>43989</v>
      </c>
      <c r="B168" t="s">
        <v>911</v>
      </c>
      <c r="C168" s="70">
        <v>20160641810</v>
      </c>
      <c r="D168" t="s">
        <v>687</v>
      </c>
      <c r="E168" t="s">
        <v>688</v>
      </c>
      <c r="F168" t="s">
        <v>703</v>
      </c>
      <c r="G168" t="s">
        <v>666</v>
      </c>
      <c r="H168">
        <v>2362.25</v>
      </c>
      <c r="I168">
        <v>425.20499999999993</v>
      </c>
      <c r="J168">
        <v>2787.4549999999999</v>
      </c>
    </row>
    <row r="169" spans="1:10" x14ac:dyDescent="0.3">
      <c r="A169" s="69">
        <v>43990</v>
      </c>
      <c r="B169" t="s">
        <v>912</v>
      </c>
      <c r="C169" s="70">
        <v>20390473142</v>
      </c>
      <c r="D169" t="s">
        <v>691</v>
      </c>
      <c r="E169" t="s">
        <v>692</v>
      </c>
      <c r="F169" t="s">
        <v>689</v>
      </c>
      <c r="G169" t="s">
        <v>669</v>
      </c>
      <c r="H169">
        <v>4422</v>
      </c>
      <c r="I169">
        <v>795.96</v>
      </c>
      <c r="J169">
        <v>5217.96</v>
      </c>
    </row>
    <row r="170" spans="1:10" x14ac:dyDescent="0.3">
      <c r="A170" s="69">
        <v>43991</v>
      </c>
      <c r="B170" t="s">
        <v>913</v>
      </c>
      <c r="C170" s="70">
        <v>20213053915</v>
      </c>
      <c r="D170" t="s">
        <v>789</v>
      </c>
      <c r="E170" t="s">
        <v>698</v>
      </c>
      <c r="F170" t="s">
        <v>689</v>
      </c>
      <c r="G170" t="s">
        <v>670</v>
      </c>
      <c r="H170">
        <v>74.400000000000006</v>
      </c>
      <c r="I170">
        <v>13.391999999999996</v>
      </c>
      <c r="J170">
        <v>87.792000000000002</v>
      </c>
    </row>
    <row r="171" spans="1:10" x14ac:dyDescent="0.3">
      <c r="A171" s="69">
        <v>43992</v>
      </c>
      <c r="B171" t="s">
        <v>914</v>
      </c>
      <c r="C171" s="70">
        <v>20100498902</v>
      </c>
      <c r="D171" t="s">
        <v>771</v>
      </c>
      <c r="E171" t="s">
        <v>688</v>
      </c>
      <c r="F171" t="s">
        <v>689</v>
      </c>
      <c r="G171" t="s">
        <v>670</v>
      </c>
      <c r="H171">
        <v>1762.7</v>
      </c>
      <c r="I171">
        <v>317.28599999999983</v>
      </c>
      <c r="J171">
        <v>2079.9859999999999</v>
      </c>
    </row>
    <row r="172" spans="1:10" x14ac:dyDescent="0.3">
      <c r="A172" s="69">
        <v>43993</v>
      </c>
      <c r="B172" t="s">
        <v>915</v>
      </c>
      <c r="C172" s="70">
        <v>20267223735</v>
      </c>
      <c r="D172" t="s">
        <v>794</v>
      </c>
      <c r="E172" t="s">
        <v>695</v>
      </c>
      <c r="F172" t="s">
        <v>703</v>
      </c>
      <c r="G172" t="s">
        <v>666</v>
      </c>
      <c r="H172">
        <v>265.35000000000002</v>
      </c>
      <c r="I172">
        <v>47.762999999999977</v>
      </c>
      <c r="J172">
        <v>313.113</v>
      </c>
    </row>
    <row r="173" spans="1:10" x14ac:dyDescent="0.3">
      <c r="A173" s="69">
        <v>43994</v>
      </c>
      <c r="B173" t="s">
        <v>916</v>
      </c>
      <c r="C173" s="70">
        <v>20266352337</v>
      </c>
      <c r="D173" t="s">
        <v>702</v>
      </c>
      <c r="E173" t="s">
        <v>688</v>
      </c>
      <c r="F173" t="s">
        <v>689</v>
      </c>
      <c r="G173" t="s">
        <v>670</v>
      </c>
      <c r="H173">
        <v>1586</v>
      </c>
      <c r="I173">
        <v>285.47999999999979</v>
      </c>
      <c r="J173">
        <v>1871.4799999999998</v>
      </c>
    </row>
    <row r="174" spans="1:10" x14ac:dyDescent="0.3">
      <c r="A174" s="69">
        <v>43995</v>
      </c>
      <c r="B174" t="s">
        <v>917</v>
      </c>
      <c r="C174" s="70">
        <v>20122263143</v>
      </c>
      <c r="D174" t="s">
        <v>712</v>
      </c>
      <c r="E174" t="s">
        <v>698</v>
      </c>
      <c r="F174" t="s">
        <v>689</v>
      </c>
      <c r="G174" t="s">
        <v>669</v>
      </c>
      <c r="H174">
        <v>1733.06</v>
      </c>
      <c r="I174">
        <v>311.95079999999984</v>
      </c>
      <c r="J174">
        <v>2045.0107999999998</v>
      </c>
    </row>
    <row r="175" spans="1:10" x14ac:dyDescent="0.3">
      <c r="A175" s="69">
        <v>43996</v>
      </c>
      <c r="B175" t="s">
        <v>918</v>
      </c>
      <c r="C175" s="70">
        <v>20100136741</v>
      </c>
      <c r="D175" t="s">
        <v>853</v>
      </c>
      <c r="E175" t="s">
        <v>698</v>
      </c>
      <c r="F175" t="s">
        <v>689</v>
      </c>
      <c r="G175" t="s">
        <v>670</v>
      </c>
      <c r="H175">
        <v>2233</v>
      </c>
      <c r="I175">
        <v>401.94000000000005</v>
      </c>
      <c r="J175">
        <v>2634.94</v>
      </c>
    </row>
    <row r="176" spans="1:10" x14ac:dyDescent="0.3">
      <c r="A176" s="69">
        <v>43997</v>
      </c>
      <c r="B176" t="s">
        <v>919</v>
      </c>
      <c r="C176" s="70">
        <v>20330011930</v>
      </c>
      <c r="D176" t="s">
        <v>716</v>
      </c>
      <c r="E176" t="s">
        <v>698</v>
      </c>
      <c r="F176" t="s">
        <v>703</v>
      </c>
      <c r="G176" t="s">
        <v>670</v>
      </c>
      <c r="H176">
        <v>4813.5</v>
      </c>
      <c r="I176">
        <v>866.42999999999938</v>
      </c>
      <c r="J176">
        <v>5679.9299999999994</v>
      </c>
    </row>
    <row r="177" spans="1:10" x14ac:dyDescent="0.3">
      <c r="A177" s="69">
        <v>43998</v>
      </c>
      <c r="B177" t="s">
        <v>920</v>
      </c>
      <c r="C177" s="70">
        <v>20100073723</v>
      </c>
      <c r="D177" t="s">
        <v>720</v>
      </c>
      <c r="E177" t="s">
        <v>692</v>
      </c>
      <c r="F177" t="s">
        <v>689</v>
      </c>
      <c r="G177" t="s">
        <v>669</v>
      </c>
      <c r="H177">
        <v>1014</v>
      </c>
      <c r="I177">
        <v>182.51999999999998</v>
      </c>
      <c r="J177">
        <v>1196.52</v>
      </c>
    </row>
    <row r="178" spans="1:10" x14ac:dyDescent="0.3">
      <c r="A178" s="69">
        <v>43999</v>
      </c>
      <c r="B178" t="s">
        <v>921</v>
      </c>
      <c r="C178" s="70">
        <v>20204441007</v>
      </c>
      <c r="D178" t="s">
        <v>821</v>
      </c>
      <c r="E178" t="s">
        <v>698</v>
      </c>
      <c r="F178" t="s">
        <v>689</v>
      </c>
      <c r="G178" t="s">
        <v>670</v>
      </c>
      <c r="H178">
        <v>2772</v>
      </c>
      <c r="I178">
        <v>498.96000000000004</v>
      </c>
      <c r="J178">
        <v>3270.96</v>
      </c>
    </row>
    <row r="179" spans="1:10" x14ac:dyDescent="0.3">
      <c r="A179" s="69">
        <v>44000</v>
      </c>
      <c r="B179" t="s">
        <v>922</v>
      </c>
      <c r="C179" s="70">
        <v>20305354563</v>
      </c>
      <c r="D179" t="s">
        <v>722</v>
      </c>
      <c r="E179" t="s">
        <v>698</v>
      </c>
      <c r="F179" t="s">
        <v>703</v>
      </c>
      <c r="G179" t="s">
        <v>669</v>
      </c>
      <c r="H179">
        <v>4288.8500000000004</v>
      </c>
      <c r="I179">
        <v>771.99299999999948</v>
      </c>
      <c r="J179">
        <v>5060.8429999999998</v>
      </c>
    </row>
    <row r="180" spans="1:10" x14ac:dyDescent="0.3">
      <c r="A180" s="69">
        <v>44001</v>
      </c>
      <c r="B180" t="s">
        <v>923</v>
      </c>
      <c r="C180" s="70">
        <v>20101908781</v>
      </c>
      <c r="D180" t="s">
        <v>724</v>
      </c>
      <c r="E180" t="s">
        <v>698</v>
      </c>
      <c r="F180" t="s">
        <v>703</v>
      </c>
      <c r="G180" t="s">
        <v>669</v>
      </c>
      <c r="H180">
        <v>2769</v>
      </c>
      <c r="I180">
        <v>498.41999999999962</v>
      </c>
      <c r="J180">
        <v>3267.4199999999996</v>
      </c>
    </row>
    <row r="181" spans="1:10" x14ac:dyDescent="0.3">
      <c r="A181" s="69">
        <v>44002</v>
      </c>
      <c r="B181" t="s">
        <v>924</v>
      </c>
      <c r="C181" s="70">
        <v>20108572958</v>
      </c>
      <c r="D181" t="s">
        <v>823</v>
      </c>
      <c r="E181" t="s">
        <v>688</v>
      </c>
      <c r="F181" t="s">
        <v>703</v>
      </c>
      <c r="G181" t="s">
        <v>666</v>
      </c>
      <c r="H181">
        <v>329.69</v>
      </c>
      <c r="I181">
        <v>59.344200000000001</v>
      </c>
      <c r="J181">
        <v>389.0342</v>
      </c>
    </row>
    <row r="182" spans="1:10" x14ac:dyDescent="0.3">
      <c r="A182" s="69">
        <v>44003</v>
      </c>
      <c r="B182" t="s">
        <v>925</v>
      </c>
      <c r="C182" s="70">
        <v>20143988725</v>
      </c>
      <c r="D182" t="s">
        <v>825</v>
      </c>
      <c r="E182" t="s">
        <v>688</v>
      </c>
      <c r="F182" t="s">
        <v>689</v>
      </c>
      <c r="G182" t="s">
        <v>669</v>
      </c>
      <c r="H182">
        <v>616.5</v>
      </c>
      <c r="I182">
        <v>110.96999999999991</v>
      </c>
      <c r="J182">
        <v>727.46999999999991</v>
      </c>
    </row>
    <row r="183" spans="1:10" x14ac:dyDescent="0.3">
      <c r="A183" s="69">
        <v>44004</v>
      </c>
      <c r="B183" t="s">
        <v>926</v>
      </c>
      <c r="C183" s="70">
        <v>20102154046</v>
      </c>
      <c r="D183" t="s">
        <v>726</v>
      </c>
      <c r="E183" t="s">
        <v>706</v>
      </c>
      <c r="F183" t="s">
        <v>703</v>
      </c>
      <c r="G183" t="s">
        <v>666</v>
      </c>
      <c r="H183">
        <v>933.5</v>
      </c>
      <c r="I183">
        <v>168.02999999999997</v>
      </c>
      <c r="J183">
        <v>1101.53</v>
      </c>
    </row>
    <row r="184" spans="1:10" x14ac:dyDescent="0.3">
      <c r="A184" s="69">
        <v>44005</v>
      </c>
      <c r="B184" t="s">
        <v>927</v>
      </c>
      <c r="C184" s="70">
        <v>20100118760</v>
      </c>
      <c r="D184" t="s">
        <v>885</v>
      </c>
      <c r="E184" t="s">
        <v>706</v>
      </c>
      <c r="F184" t="s">
        <v>689</v>
      </c>
      <c r="G184" t="s">
        <v>669</v>
      </c>
      <c r="H184">
        <v>491.5</v>
      </c>
      <c r="I184">
        <v>88.469999999999914</v>
      </c>
      <c r="J184">
        <v>579.96999999999991</v>
      </c>
    </row>
    <row r="185" spans="1:10" x14ac:dyDescent="0.3">
      <c r="A185" s="69">
        <v>44006</v>
      </c>
      <c r="B185" t="s">
        <v>928</v>
      </c>
      <c r="C185" s="70">
        <v>20100129028</v>
      </c>
      <c r="D185" t="s">
        <v>828</v>
      </c>
      <c r="E185" t="s">
        <v>698</v>
      </c>
      <c r="F185" t="s">
        <v>703</v>
      </c>
      <c r="G185" t="s">
        <v>669</v>
      </c>
      <c r="H185">
        <v>6750</v>
      </c>
      <c r="I185">
        <v>1215</v>
      </c>
      <c r="J185">
        <v>7965</v>
      </c>
    </row>
    <row r="186" spans="1:10" x14ac:dyDescent="0.3">
      <c r="A186" s="69">
        <v>44007</v>
      </c>
      <c r="B186" t="s">
        <v>929</v>
      </c>
      <c r="C186" s="70">
        <v>20503493650</v>
      </c>
      <c r="D186" t="s">
        <v>775</v>
      </c>
      <c r="E186" t="s">
        <v>688</v>
      </c>
      <c r="F186" t="s">
        <v>703</v>
      </c>
      <c r="G186" t="s">
        <v>666</v>
      </c>
      <c r="H186">
        <v>1402</v>
      </c>
      <c r="I186">
        <v>252.3599999999999</v>
      </c>
      <c r="J186">
        <v>1654.36</v>
      </c>
    </row>
    <row r="187" spans="1:10" x14ac:dyDescent="0.3">
      <c r="A187" s="69">
        <v>44008</v>
      </c>
      <c r="B187" t="s">
        <v>930</v>
      </c>
      <c r="C187" s="70">
        <v>20112999621</v>
      </c>
      <c r="D187" t="s">
        <v>760</v>
      </c>
      <c r="E187" t="s">
        <v>698</v>
      </c>
      <c r="F187" t="s">
        <v>689</v>
      </c>
      <c r="G187" t="s">
        <v>670</v>
      </c>
      <c r="H187">
        <v>1692</v>
      </c>
      <c r="I187">
        <v>304.55999999999995</v>
      </c>
      <c r="J187">
        <v>1996.56</v>
      </c>
    </row>
    <row r="188" spans="1:10" x14ac:dyDescent="0.3">
      <c r="A188" s="69">
        <v>44009</v>
      </c>
      <c r="B188" t="s">
        <v>931</v>
      </c>
      <c r="C188" s="70">
        <v>20330011930</v>
      </c>
      <c r="D188" t="s">
        <v>716</v>
      </c>
      <c r="E188" t="s">
        <v>698</v>
      </c>
      <c r="F188" t="s">
        <v>689</v>
      </c>
      <c r="G188" t="s">
        <v>666</v>
      </c>
      <c r="H188">
        <v>1773</v>
      </c>
      <c r="I188">
        <v>319.13999999999987</v>
      </c>
      <c r="J188">
        <v>2092.14</v>
      </c>
    </row>
    <row r="189" spans="1:10" x14ac:dyDescent="0.3">
      <c r="A189" s="69">
        <v>44010</v>
      </c>
      <c r="B189" t="s">
        <v>932</v>
      </c>
      <c r="C189" s="70">
        <v>20100134455</v>
      </c>
      <c r="D189" t="s">
        <v>718</v>
      </c>
      <c r="E189" t="s">
        <v>698</v>
      </c>
      <c r="F189" t="s">
        <v>689</v>
      </c>
      <c r="G189" t="s">
        <v>669</v>
      </c>
      <c r="H189">
        <v>405.75</v>
      </c>
      <c r="I189">
        <v>73.034999999999968</v>
      </c>
      <c r="J189">
        <v>478.78499999999997</v>
      </c>
    </row>
    <row r="190" spans="1:10" x14ac:dyDescent="0.3">
      <c r="A190" s="69">
        <v>44011</v>
      </c>
      <c r="B190" t="s">
        <v>933</v>
      </c>
      <c r="C190" s="70">
        <v>20100073723</v>
      </c>
      <c r="D190" t="s">
        <v>720</v>
      </c>
      <c r="E190" t="s">
        <v>698</v>
      </c>
      <c r="F190" t="s">
        <v>689</v>
      </c>
      <c r="G190" t="s">
        <v>670</v>
      </c>
      <c r="H190">
        <v>1485.8</v>
      </c>
      <c r="I190">
        <v>267.44399999999996</v>
      </c>
      <c r="J190">
        <v>1753.2439999999999</v>
      </c>
    </row>
    <row r="191" spans="1:10" x14ac:dyDescent="0.3">
      <c r="A191" s="69">
        <v>44012</v>
      </c>
      <c r="B191" t="s">
        <v>934</v>
      </c>
      <c r="C191" s="70">
        <v>20100012856</v>
      </c>
      <c r="D191" t="s">
        <v>893</v>
      </c>
      <c r="E191" t="s">
        <v>688</v>
      </c>
      <c r="F191" t="s">
        <v>703</v>
      </c>
      <c r="G191" t="s">
        <v>666</v>
      </c>
      <c r="H191">
        <v>273.60000000000002</v>
      </c>
      <c r="I191">
        <v>49.24799999999999</v>
      </c>
      <c r="J191">
        <v>322.84800000000001</v>
      </c>
    </row>
    <row r="192" spans="1:10" x14ac:dyDescent="0.3">
      <c r="A192" s="69">
        <v>44013</v>
      </c>
      <c r="B192" t="s">
        <v>935</v>
      </c>
      <c r="C192" s="70">
        <v>20101908781</v>
      </c>
      <c r="D192" t="s">
        <v>724</v>
      </c>
      <c r="E192" t="s">
        <v>698</v>
      </c>
      <c r="F192" t="s">
        <v>689</v>
      </c>
      <c r="G192" t="s">
        <v>670</v>
      </c>
      <c r="H192">
        <v>810</v>
      </c>
      <c r="I192">
        <v>145.79999999999995</v>
      </c>
      <c r="J192">
        <v>955.8</v>
      </c>
    </row>
    <row r="193" spans="1:10" x14ac:dyDescent="0.3">
      <c r="A193" s="69">
        <v>44014</v>
      </c>
      <c r="B193" t="s">
        <v>936</v>
      </c>
      <c r="C193" s="70">
        <v>20108572958</v>
      </c>
      <c r="D193" t="s">
        <v>823</v>
      </c>
      <c r="E193" t="s">
        <v>688</v>
      </c>
      <c r="F193" t="s">
        <v>703</v>
      </c>
      <c r="G193" t="s">
        <v>666</v>
      </c>
      <c r="H193">
        <v>1332</v>
      </c>
      <c r="I193">
        <v>239.76</v>
      </c>
      <c r="J193">
        <v>1571.76</v>
      </c>
    </row>
    <row r="194" spans="1:10" x14ac:dyDescent="0.3">
      <c r="A194" s="69">
        <v>44015</v>
      </c>
      <c r="B194" t="s">
        <v>937</v>
      </c>
      <c r="C194" s="70">
        <v>20108056941</v>
      </c>
      <c r="D194" t="s">
        <v>897</v>
      </c>
      <c r="E194" t="s">
        <v>692</v>
      </c>
      <c r="F194" t="s">
        <v>689</v>
      </c>
      <c r="G194" t="s">
        <v>670</v>
      </c>
      <c r="H194">
        <v>305</v>
      </c>
      <c r="I194">
        <v>54.899999999999977</v>
      </c>
      <c r="J194">
        <v>359.9</v>
      </c>
    </row>
    <row r="195" spans="1:10" x14ac:dyDescent="0.3">
      <c r="A195" s="69">
        <v>44016</v>
      </c>
      <c r="B195" t="s">
        <v>938</v>
      </c>
      <c r="C195" s="70">
        <v>20102154046</v>
      </c>
      <c r="D195" t="s">
        <v>726</v>
      </c>
      <c r="E195" t="s">
        <v>698</v>
      </c>
      <c r="F195" t="s">
        <v>689</v>
      </c>
      <c r="G195" t="s">
        <v>670</v>
      </c>
      <c r="H195">
        <v>3740</v>
      </c>
      <c r="I195">
        <v>673.19999999999982</v>
      </c>
      <c r="J195">
        <v>4413.2</v>
      </c>
    </row>
    <row r="196" spans="1:10" x14ac:dyDescent="0.3">
      <c r="A196" s="69">
        <v>44017</v>
      </c>
      <c r="B196" t="s">
        <v>939</v>
      </c>
      <c r="C196" s="70">
        <v>20297687655</v>
      </c>
      <c r="D196" t="s">
        <v>728</v>
      </c>
      <c r="E196" t="s">
        <v>692</v>
      </c>
      <c r="F196" t="s">
        <v>703</v>
      </c>
      <c r="G196" t="s">
        <v>666</v>
      </c>
      <c r="H196">
        <v>858</v>
      </c>
      <c r="I196">
        <v>154.43999999999994</v>
      </c>
      <c r="J196">
        <v>1012.4399999999999</v>
      </c>
    </row>
    <row r="197" spans="1:10" x14ac:dyDescent="0.3">
      <c r="A197" s="69">
        <v>44018</v>
      </c>
      <c r="B197" t="s">
        <v>940</v>
      </c>
      <c r="C197" s="70">
        <v>20100067596</v>
      </c>
      <c r="D197" t="s">
        <v>730</v>
      </c>
      <c r="E197" t="s">
        <v>698</v>
      </c>
      <c r="F197" t="s">
        <v>689</v>
      </c>
      <c r="G197" t="s">
        <v>668</v>
      </c>
      <c r="H197">
        <v>5218</v>
      </c>
      <c r="I197">
        <v>939.23999999999978</v>
      </c>
      <c r="J197">
        <v>6157.24</v>
      </c>
    </row>
    <row r="198" spans="1:10" x14ac:dyDescent="0.3">
      <c r="A198" s="69">
        <v>44019</v>
      </c>
      <c r="B198" t="s">
        <v>926</v>
      </c>
      <c r="C198" s="70">
        <v>20102154046</v>
      </c>
      <c r="D198" t="s">
        <v>726</v>
      </c>
      <c r="E198" t="s">
        <v>706</v>
      </c>
      <c r="F198" t="s">
        <v>703</v>
      </c>
      <c r="G198" t="s">
        <v>666</v>
      </c>
      <c r="H198">
        <v>933.5</v>
      </c>
      <c r="I198">
        <v>168.02999999999997</v>
      </c>
      <c r="J198">
        <v>1101.53</v>
      </c>
    </row>
    <row r="199" spans="1:10" x14ac:dyDescent="0.3">
      <c r="A199" s="69">
        <v>44020</v>
      </c>
      <c r="B199" t="s">
        <v>927</v>
      </c>
      <c r="C199" s="70">
        <v>20100118760</v>
      </c>
      <c r="D199" t="s">
        <v>885</v>
      </c>
      <c r="E199" t="s">
        <v>706</v>
      </c>
      <c r="F199" t="s">
        <v>689</v>
      </c>
      <c r="G199" t="s">
        <v>669</v>
      </c>
      <c r="H199">
        <v>491.5</v>
      </c>
      <c r="I199">
        <v>88.469999999999914</v>
      </c>
      <c r="J199">
        <v>579.96999999999991</v>
      </c>
    </row>
    <row r="200" spans="1:10" x14ac:dyDescent="0.3">
      <c r="A200" s="69">
        <v>44021</v>
      </c>
      <c r="B200" t="s">
        <v>928</v>
      </c>
      <c r="C200" s="70">
        <v>20100129028</v>
      </c>
      <c r="D200" t="s">
        <v>828</v>
      </c>
      <c r="E200" t="s">
        <v>698</v>
      </c>
      <c r="F200" t="s">
        <v>703</v>
      </c>
      <c r="G200" t="s">
        <v>669</v>
      </c>
      <c r="H200">
        <v>6750</v>
      </c>
      <c r="I200">
        <v>1215</v>
      </c>
      <c r="J200">
        <v>7965</v>
      </c>
    </row>
    <row r="201" spans="1:10" x14ac:dyDescent="0.3">
      <c r="A201" s="69">
        <v>44022</v>
      </c>
      <c r="B201" t="s">
        <v>929</v>
      </c>
      <c r="C201" s="70">
        <v>20503493650</v>
      </c>
      <c r="D201" t="s">
        <v>775</v>
      </c>
      <c r="E201" t="s">
        <v>688</v>
      </c>
      <c r="F201" t="s">
        <v>703</v>
      </c>
      <c r="G201" t="s">
        <v>666</v>
      </c>
      <c r="H201">
        <v>1402</v>
      </c>
      <c r="I201">
        <v>252.3599999999999</v>
      </c>
      <c r="J201">
        <v>1654.36</v>
      </c>
    </row>
    <row r="202" spans="1:10" x14ac:dyDescent="0.3">
      <c r="A202" s="69">
        <v>44023</v>
      </c>
      <c r="B202" t="s">
        <v>930</v>
      </c>
      <c r="C202" s="70">
        <v>20112999621</v>
      </c>
      <c r="D202" t="s">
        <v>760</v>
      </c>
      <c r="E202" t="s">
        <v>698</v>
      </c>
      <c r="F202" t="s">
        <v>689</v>
      </c>
      <c r="G202" t="s">
        <v>670</v>
      </c>
      <c r="H202">
        <v>1692</v>
      </c>
      <c r="I202">
        <v>304.55999999999995</v>
      </c>
      <c r="J202">
        <v>1996.56</v>
      </c>
    </row>
    <row r="203" spans="1:10" x14ac:dyDescent="0.3">
      <c r="A203" s="69">
        <v>44024</v>
      </c>
      <c r="B203" t="s">
        <v>931</v>
      </c>
      <c r="C203" s="70">
        <v>20330011930</v>
      </c>
      <c r="D203" t="s">
        <v>716</v>
      </c>
      <c r="E203" t="s">
        <v>698</v>
      </c>
      <c r="F203" t="s">
        <v>689</v>
      </c>
      <c r="G203" t="s">
        <v>666</v>
      </c>
      <c r="H203">
        <v>1773</v>
      </c>
      <c r="I203">
        <v>319.13999999999987</v>
      </c>
      <c r="J203">
        <v>2092.14</v>
      </c>
    </row>
    <row r="204" spans="1:10" x14ac:dyDescent="0.3">
      <c r="A204" s="69">
        <v>44025</v>
      </c>
      <c r="B204" t="s">
        <v>932</v>
      </c>
      <c r="C204" s="70">
        <v>20100134455</v>
      </c>
      <c r="D204" t="s">
        <v>718</v>
      </c>
      <c r="E204" t="s">
        <v>698</v>
      </c>
      <c r="F204" t="s">
        <v>689</v>
      </c>
      <c r="G204" t="s">
        <v>669</v>
      </c>
      <c r="H204">
        <v>405.75</v>
      </c>
      <c r="I204">
        <v>73.034999999999968</v>
      </c>
      <c r="J204">
        <v>478.78499999999997</v>
      </c>
    </row>
    <row r="205" spans="1:10" x14ac:dyDescent="0.3">
      <c r="A205" s="69">
        <v>44026</v>
      </c>
      <c r="B205" t="s">
        <v>933</v>
      </c>
      <c r="C205" s="70">
        <v>20100073723</v>
      </c>
      <c r="D205" t="s">
        <v>720</v>
      </c>
      <c r="E205" t="s">
        <v>698</v>
      </c>
      <c r="F205" t="s">
        <v>689</v>
      </c>
      <c r="G205" t="s">
        <v>670</v>
      </c>
      <c r="H205">
        <v>1485.8</v>
      </c>
      <c r="I205">
        <v>267.44399999999996</v>
      </c>
      <c r="J205">
        <v>1753.2439999999999</v>
      </c>
    </row>
    <row r="206" spans="1:10" x14ac:dyDescent="0.3">
      <c r="A206" s="69">
        <v>44027</v>
      </c>
      <c r="B206" t="s">
        <v>934</v>
      </c>
      <c r="C206" s="70">
        <v>20100012856</v>
      </c>
      <c r="D206" t="s">
        <v>893</v>
      </c>
      <c r="E206" t="s">
        <v>688</v>
      </c>
      <c r="F206" t="s">
        <v>703</v>
      </c>
      <c r="G206" t="s">
        <v>666</v>
      </c>
      <c r="H206">
        <v>273.60000000000002</v>
      </c>
      <c r="I206">
        <v>49.24799999999999</v>
      </c>
      <c r="J206">
        <v>322.84800000000001</v>
      </c>
    </row>
    <row r="207" spans="1:10" x14ac:dyDescent="0.3">
      <c r="A207" s="69">
        <v>44028</v>
      </c>
      <c r="B207" t="s">
        <v>935</v>
      </c>
      <c r="C207" s="70">
        <v>20101908781</v>
      </c>
      <c r="D207" t="s">
        <v>724</v>
      </c>
      <c r="E207" t="s">
        <v>698</v>
      </c>
      <c r="F207" t="s">
        <v>689</v>
      </c>
      <c r="G207" t="s">
        <v>670</v>
      </c>
      <c r="H207">
        <v>810</v>
      </c>
      <c r="I207">
        <v>145.79999999999995</v>
      </c>
      <c r="J207">
        <v>955.8</v>
      </c>
    </row>
    <row r="208" spans="1:10" x14ac:dyDescent="0.3">
      <c r="A208" s="69">
        <v>44029</v>
      </c>
      <c r="B208" t="s">
        <v>936</v>
      </c>
      <c r="C208" s="70">
        <v>20108572958</v>
      </c>
      <c r="D208" t="s">
        <v>823</v>
      </c>
      <c r="E208" t="s">
        <v>688</v>
      </c>
      <c r="F208" t="s">
        <v>703</v>
      </c>
      <c r="G208" t="s">
        <v>666</v>
      </c>
      <c r="H208">
        <v>1332</v>
      </c>
      <c r="I208">
        <v>239.76</v>
      </c>
      <c r="J208">
        <v>1571.76</v>
      </c>
    </row>
    <row r="209" spans="1:10" x14ac:dyDescent="0.3">
      <c r="A209" s="69">
        <v>44030</v>
      </c>
      <c r="B209" t="s">
        <v>937</v>
      </c>
      <c r="C209" s="70">
        <v>20108056941</v>
      </c>
      <c r="D209" t="s">
        <v>897</v>
      </c>
      <c r="E209" t="s">
        <v>692</v>
      </c>
      <c r="F209" t="s">
        <v>689</v>
      </c>
      <c r="G209" t="s">
        <v>670</v>
      </c>
      <c r="H209">
        <v>305</v>
      </c>
      <c r="I209">
        <v>54.899999999999977</v>
      </c>
      <c r="J209">
        <v>359.9</v>
      </c>
    </row>
    <row r="210" spans="1:10" x14ac:dyDescent="0.3">
      <c r="A210" s="69">
        <v>44031</v>
      </c>
      <c r="B210" t="s">
        <v>938</v>
      </c>
      <c r="C210" s="70">
        <v>20102154046</v>
      </c>
      <c r="D210" t="s">
        <v>726</v>
      </c>
      <c r="E210" t="s">
        <v>698</v>
      </c>
      <c r="F210" t="s">
        <v>689</v>
      </c>
      <c r="G210" t="s">
        <v>670</v>
      </c>
      <c r="H210">
        <v>3740</v>
      </c>
      <c r="I210">
        <v>673.19999999999982</v>
      </c>
      <c r="J210">
        <v>4413.2</v>
      </c>
    </row>
    <row r="211" spans="1:10" x14ac:dyDescent="0.3">
      <c r="A211" s="69">
        <v>44032</v>
      </c>
      <c r="B211" t="s">
        <v>939</v>
      </c>
      <c r="C211" s="70">
        <v>20297687655</v>
      </c>
      <c r="D211" t="s">
        <v>728</v>
      </c>
      <c r="E211" t="s">
        <v>692</v>
      </c>
      <c r="F211" t="s">
        <v>703</v>
      </c>
      <c r="G211" t="s">
        <v>666</v>
      </c>
      <c r="H211">
        <v>858</v>
      </c>
      <c r="I211">
        <v>154.43999999999994</v>
      </c>
      <c r="J211">
        <v>1012.4399999999999</v>
      </c>
    </row>
    <row r="212" spans="1:10" x14ac:dyDescent="0.3">
      <c r="A212" s="69">
        <v>44033</v>
      </c>
      <c r="B212" t="s">
        <v>940</v>
      </c>
      <c r="C212" s="70">
        <v>20100067596</v>
      </c>
      <c r="D212" t="s">
        <v>730</v>
      </c>
      <c r="E212" t="s">
        <v>698</v>
      </c>
      <c r="F212" t="s">
        <v>689</v>
      </c>
      <c r="G212" t="s">
        <v>668</v>
      </c>
      <c r="H212">
        <v>5218</v>
      </c>
      <c r="I212">
        <v>939.23999999999978</v>
      </c>
      <c r="J212">
        <v>6157.24</v>
      </c>
    </row>
    <row r="213" spans="1:10" x14ac:dyDescent="0.3">
      <c r="A213" s="69">
        <v>44034</v>
      </c>
      <c r="B213" t="s">
        <v>934</v>
      </c>
      <c r="C213" s="70">
        <v>20100012856</v>
      </c>
      <c r="D213" t="s">
        <v>893</v>
      </c>
      <c r="E213" t="s">
        <v>688</v>
      </c>
      <c r="F213" t="s">
        <v>703</v>
      </c>
      <c r="G213" t="s">
        <v>666</v>
      </c>
      <c r="H213">
        <v>273.60000000000002</v>
      </c>
      <c r="I213">
        <v>49.24799999999999</v>
      </c>
      <c r="J213">
        <v>322.84800000000001</v>
      </c>
    </row>
    <row r="214" spans="1:10" x14ac:dyDescent="0.3">
      <c r="A214" s="69">
        <v>44035</v>
      </c>
      <c r="B214" t="s">
        <v>935</v>
      </c>
      <c r="C214" s="70">
        <v>20101908781</v>
      </c>
      <c r="D214" t="s">
        <v>724</v>
      </c>
      <c r="E214" t="s">
        <v>698</v>
      </c>
      <c r="F214" t="s">
        <v>689</v>
      </c>
      <c r="G214" t="s">
        <v>670</v>
      </c>
      <c r="H214">
        <v>810</v>
      </c>
      <c r="I214">
        <v>145.79999999999995</v>
      </c>
      <c r="J214">
        <v>955.8</v>
      </c>
    </row>
    <row r="215" spans="1:10" x14ac:dyDescent="0.3">
      <c r="A215" s="69">
        <v>44036</v>
      </c>
      <c r="B215" t="s">
        <v>936</v>
      </c>
      <c r="C215" s="70">
        <v>20108572958</v>
      </c>
      <c r="D215" t="s">
        <v>823</v>
      </c>
      <c r="E215" t="s">
        <v>688</v>
      </c>
      <c r="F215" t="s">
        <v>703</v>
      </c>
      <c r="G215" t="s">
        <v>666</v>
      </c>
      <c r="H215">
        <v>1332</v>
      </c>
      <c r="I215">
        <v>239.76</v>
      </c>
      <c r="J215">
        <v>1571.76</v>
      </c>
    </row>
    <row r="216" spans="1:10" x14ac:dyDescent="0.3">
      <c r="A216" s="69">
        <v>44037</v>
      </c>
      <c r="B216" t="s">
        <v>937</v>
      </c>
      <c r="C216" s="70">
        <v>20108056941</v>
      </c>
      <c r="D216" t="s">
        <v>897</v>
      </c>
      <c r="E216" t="s">
        <v>692</v>
      </c>
      <c r="F216" t="s">
        <v>689</v>
      </c>
      <c r="G216" t="s">
        <v>670</v>
      </c>
      <c r="H216">
        <v>305</v>
      </c>
      <c r="I216">
        <v>54.899999999999977</v>
      </c>
      <c r="J216">
        <v>359.9</v>
      </c>
    </row>
    <row r="217" spans="1:10" x14ac:dyDescent="0.3">
      <c r="A217" s="69">
        <v>44038</v>
      </c>
      <c r="B217" t="s">
        <v>938</v>
      </c>
      <c r="C217" s="70">
        <v>20102154046</v>
      </c>
      <c r="D217" t="s">
        <v>726</v>
      </c>
      <c r="E217" t="s">
        <v>698</v>
      </c>
      <c r="F217" t="s">
        <v>689</v>
      </c>
      <c r="G217" t="s">
        <v>670</v>
      </c>
      <c r="H217">
        <v>3740</v>
      </c>
      <c r="I217">
        <v>673.19999999999982</v>
      </c>
      <c r="J217">
        <v>4413.2</v>
      </c>
    </row>
    <row r="218" spans="1:10" x14ac:dyDescent="0.3">
      <c r="A218" s="69">
        <v>44039</v>
      </c>
      <c r="B218" t="s">
        <v>939</v>
      </c>
      <c r="C218" s="70">
        <v>20297687655</v>
      </c>
      <c r="D218" t="s">
        <v>728</v>
      </c>
      <c r="E218" t="s">
        <v>692</v>
      </c>
      <c r="F218" t="s">
        <v>703</v>
      </c>
      <c r="G218" t="s">
        <v>666</v>
      </c>
      <c r="H218">
        <v>858</v>
      </c>
      <c r="I218">
        <v>154.43999999999994</v>
      </c>
      <c r="J218">
        <v>1012.4399999999999</v>
      </c>
    </row>
    <row r="219" spans="1:10" x14ac:dyDescent="0.3">
      <c r="A219" s="69">
        <v>44040</v>
      </c>
      <c r="B219" t="s">
        <v>940</v>
      </c>
      <c r="C219" s="70">
        <v>20100067596</v>
      </c>
      <c r="D219" t="s">
        <v>730</v>
      </c>
      <c r="E219" t="s">
        <v>698</v>
      </c>
      <c r="F219" t="s">
        <v>689</v>
      </c>
      <c r="G219" t="s">
        <v>668</v>
      </c>
      <c r="H219">
        <v>5218</v>
      </c>
      <c r="I219">
        <v>939.23999999999978</v>
      </c>
      <c r="J219">
        <v>6157.24</v>
      </c>
    </row>
    <row r="220" spans="1:10" x14ac:dyDescent="0.3">
      <c r="A220" s="69">
        <v>44041</v>
      </c>
      <c r="B220" t="s">
        <v>926</v>
      </c>
      <c r="C220" s="70">
        <v>20102154046</v>
      </c>
      <c r="D220" t="s">
        <v>726</v>
      </c>
      <c r="E220" t="s">
        <v>706</v>
      </c>
      <c r="F220" t="s">
        <v>703</v>
      </c>
      <c r="G220" t="s">
        <v>666</v>
      </c>
      <c r="H220">
        <v>933.5</v>
      </c>
      <c r="I220">
        <v>168.02999999999997</v>
      </c>
      <c r="J220">
        <v>1101.53</v>
      </c>
    </row>
    <row r="221" spans="1:10" x14ac:dyDescent="0.3">
      <c r="A221" s="69">
        <v>44042</v>
      </c>
      <c r="B221" t="s">
        <v>927</v>
      </c>
      <c r="C221" s="70">
        <v>20100118760</v>
      </c>
      <c r="D221" t="s">
        <v>885</v>
      </c>
      <c r="E221" t="s">
        <v>706</v>
      </c>
      <c r="F221" t="s">
        <v>689</v>
      </c>
      <c r="G221" t="s">
        <v>669</v>
      </c>
      <c r="H221">
        <v>491.5</v>
      </c>
      <c r="I221">
        <v>88.469999999999914</v>
      </c>
      <c r="J221">
        <v>579.96999999999991</v>
      </c>
    </row>
    <row r="222" spans="1:10" x14ac:dyDescent="0.3">
      <c r="A222" s="69">
        <v>44043</v>
      </c>
      <c r="B222" t="s">
        <v>928</v>
      </c>
      <c r="C222" s="70">
        <v>20100129028</v>
      </c>
      <c r="D222" t="s">
        <v>828</v>
      </c>
      <c r="E222" t="s">
        <v>698</v>
      </c>
      <c r="F222" t="s">
        <v>703</v>
      </c>
      <c r="G222" t="s">
        <v>669</v>
      </c>
      <c r="H222">
        <v>6750</v>
      </c>
      <c r="I222">
        <v>1215</v>
      </c>
      <c r="J222">
        <v>7965</v>
      </c>
    </row>
    <row r="223" spans="1:10" x14ac:dyDescent="0.3">
      <c r="A223" s="69">
        <v>44044</v>
      </c>
      <c r="B223" t="s">
        <v>929</v>
      </c>
      <c r="C223" s="70">
        <v>20503493650</v>
      </c>
      <c r="D223" t="s">
        <v>775</v>
      </c>
      <c r="E223" t="s">
        <v>688</v>
      </c>
      <c r="F223" t="s">
        <v>703</v>
      </c>
      <c r="G223" t="s">
        <v>666</v>
      </c>
      <c r="H223">
        <v>1402</v>
      </c>
      <c r="I223">
        <v>252.3599999999999</v>
      </c>
      <c r="J223">
        <v>1654.36</v>
      </c>
    </row>
    <row r="224" spans="1:10" x14ac:dyDescent="0.3">
      <c r="A224" s="69">
        <v>44045</v>
      </c>
      <c r="B224" t="s">
        <v>930</v>
      </c>
      <c r="C224" s="70">
        <v>20112999621</v>
      </c>
      <c r="D224" t="s">
        <v>760</v>
      </c>
      <c r="E224" t="s">
        <v>698</v>
      </c>
      <c r="F224" t="s">
        <v>689</v>
      </c>
      <c r="G224" t="s">
        <v>670</v>
      </c>
      <c r="H224">
        <v>1692</v>
      </c>
      <c r="I224">
        <v>304.55999999999995</v>
      </c>
      <c r="J224">
        <v>1996.56</v>
      </c>
    </row>
    <row r="225" spans="1:10" x14ac:dyDescent="0.3">
      <c r="A225" s="69">
        <v>44046</v>
      </c>
      <c r="B225" t="s">
        <v>931</v>
      </c>
      <c r="C225" s="70">
        <v>20330011930</v>
      </c>
      <c r="D225" t="s">
        <v>716</v>
      </c>
      <c r="E225" t="s">
        <v>698</v>
      </c>
      <c r="F225" t="s">
        <v>689</v>
      </c>
      <c r="G225" t="s">
        <v>666</v>
      </c>
      <c r="H225">
        <v>1773</v>
      </c>
      <c r="I225">
        <v>319.13999999999987</v>
      </c>
      <c r="J225">
        <v>2092.14</v>
      </c>
    </row>
    <row r="226" spans="1:10" x14ac:dyDescent="0.3">
      <c r="A226" s="69">
        <v>44047</v>
      </c>
      <c r="B226" t="s">
        <v>932</v>
      </c>
      <c r="C226" s="70">
        <v>20100134455</v>
      </c>
      <c r="D226" t="s">
        <v>718</v>
      </c>
      <c r="E226" t="s">
        <v>698</v>
      </c>
      <c r="F226" t="s">
        <v>689</v>
      </c>
      <c r="G226" t="s">
        <v>669</v>
      </c>
      <c r="H226">
        <v>405.75</v>
      </c>
      <c r="I226">
        <v>73.034999999999968</v>
      </c>
      <c r="J226">
        <v>478.78499999999997</v>
      </c>
    </row>
    <row r="227" spans="1:10" x14ac:dyDescent="0.3">
      <c r="A227" s="69">
        <v>44048</v>
      </c>
      <c r="B227" t="s">
        <v>933</v>
      </c>
      <c r="C227" s="70">
        <v>20100073723</v>
      </c>
      <c r="D227" t="s">
        <v>720</v>
      </c>
      <c r="E227" t="s">
        <v>698</v>
      </c>
      <c r="F227" t="s">
        <v>689</v>
      </c>
      <c r="G227" t="s">
        <v>670</v>
      </c>
      <c r="H227">
        <v>1485.8</v>
      </c>
      <c r="I227">
        <v>267.44399999999996</v>
      </c>
      <c r="J227">
        <v>1753.2439999999999</v>
      </c>
    </row>
    <row r="228" spans="1:10" x14ac:dyDescent="0.3">
      <c r="A228" s="69">
        <v>44049</v>
      </c>
      <c r="B228" t="s">
        <v>934</v>
      </c>
      <c r="C228" s="70">
        <v>20100012856</v>
      </c>
      <c r="D228" t="s">
        <v>893</v>
      </c>
      <c r="E228" t="s">
        <v>688</v>
      </c>
      <c r="F228" t="s">
        <v>703</v>
      </c>
      <c r="G228" t="s">
        <v>666</v>
      </c>
      <c r="H228">
        <v>273.60000000000002</v>
      </c>
      <c r="I228">
        <v>49.24799999999999</v>
      </c>
      <c r="J228">
        <v>322.84800000000001</v>
      </c>
    </row>
    <row r="229" spans="1:10" x14ac:dyDescent="0.3">
      <c r="A229" s="69">
        <v>44050</v>
      </c>
      <c r="B229" t="s">
        <v>935</v>
      </c>
      <c r="C229" s="70">
        <v>20101908781</v>
      </c>
      <c r="D229" t="s">
        <v>724</v>
      </c>
      <c r="E229" t="s">
        <v>698</v>
      </c>
      <c r="F229" t="s">
        <v>689</v>
      </c>
      <c r="G229" t="s">
        <v>670</v>
      </c>
      <c r="H229">
        <v>810</v>
      </c>
      <c r="I229">
        <v>145.79999999999995</v>
      </c>
      <c r="J229">
        <v>955.8</v>
      </c>
    </row>
    <row r="230" spans="1:10" x14ac:dyDescent="0.3">
      <c r="A230" s="69">
        <v>44051</v>
      </c>
      <c r="B230" t="s">
        <v>936</v>
      </c>
      <c r="C230" s="70">
        <v>20108572958</v>
      </c>
      <c r="D230" t="s">
        <v>823</v>
      </c>
      <c r="E230" t="s">
        <v>688</v>
      </c>
      <c r="F230" t="s">
        <v>703</v>
      </c>
      <c r="G230" t="s">
        <v>666</v>
      </c>
      <c r="H230">
        <v>1332</v>
      </c>
      <c r="I230">
        <v>239.76</v>
      </c>
      <c r="J230">
        <v>1571.76</v>
      </c>
    </row>
    <row r="231" spans="1:10" x14ac:dyDescent="0.3">
      <c r="A231" s="69">
        <v>44052</v>
      </c>
      <c r="B231" t="s">
        <v>937</v>
      </c>
      <c r="C231" s="70">
        <v>20108056941</v>
      </c>
      <c r="D231" t="s">
        <v>897</v>
      </c>
      <c r="E231" t="s">
        <v>692</v>
      </c>
      <c r="F231" t="s">
        <v>689</v>
      </c>
      <c r="G231" t="s">
        <v>670</v>
      </c>
      <c r="H231">
        <v>305</v>
      </c>
      <c r="I231">
        <v>54.899999999999977</v>
      </c>
      <c r="J231">
        <v>359.9</v>
      </c>
    </row>
    <row r="232" spans="1:10" x14ac:dyDescent="0.3">
      <c r="A232" s="69">
        <v>44053</v>
      </c>
      <c r="B232" t="s">
        <v>938</v>
      </c>
      <c r="C232" s="70">
        <v>20102154046</v>
      </c>
      <c r="D232" t="s">
        <v>726</v>
      </c>
      <c r="E232" t="s">
        <v>698</v>
      </c>
      <c r="F232" t="s">
        <v>689</v>
      </c>
      <c r="G232" t="s">
        <v>670</v>
      </c>
      <c r="H232">
        <v>3740</v>
      </c>
      <c r="I232">
        <v>673.19999999999982</v>
      </c>
      <c r="J232">
        <v>4413.2</v>
      </c>
    </row>
    <row r="233" spans="1:10" x14ac:dyDescent="0.3">
      <c r="A233" s="69">
        <v>44054</v>
      </c>
      <c r="B233" t="s">
        <v>939</v>
      </c>
      <c r="C233" s="70">
        <v>20297687655</v>
      </c>
      <c r="D233" t="s">
        <v>728</v>
      </c>
      <c r="E233" t="s">
        <v>692</v>
      </c>
      <c r="F233" t="s">
        <v>703</v>
      </c>
      <c r="G233" t="s">
        <v>666</v>
      </c>
      <c r="H233">
        <v>858</v>
      </c>
      <c r="I233">
        <v>154.43999999999994</v>
      </c>
      <c r="J233">
        <v>1012.4399999999999</v>
      </c>
    </row>
    <row r="234" spans="1:10" x14ac:dyDescent="0.3">
      <c r="A234" s="69">
        <v>44055</v>
      </c>
      <c r="B234" t="s">
        <v>940</v>
      </c>
      <c r="C234" s="70">
        <v>20100067596</v>
      </c>
      <c r="D234" t="s">
        <v>730</v>
      </c>
      <c r="E234" t="s">
        <v>698</v>
      </c>
      <c r="F234" t="s">
        <v>689</v>
      </c>
      <c r="G234" t="s">
        <v>668</v>
      </c>
      <c r="H234">
        <v>5218</v>
      </c>
      <c r="I234">
        <v>939.23999999999978</v>
      </c>
      <c r="J234">
        <v>6157.24</v>
      </c>
    </row>
    <row r="235" spans="1:10" x14ac:dyDescent="0.3">
      <c r="A235" s="69">
        <v>44056</v>
      </c>
      <c r="B235" t="s">
        <v>939</v>
      </c>
      <c r="C235" s="70">
        <v>20297687655</v>
      </c>
      <c r="D235" t="s">
        <v>728</v>
      </c>
      <c r="E235" t="s">
        <v>692</v>
      </c>
      <c r="F235" t="s">
        <v>703</v>
      </c>
      <c r="G235" t="s">
        <v>666</v>
      </c>
      <c r="H235">
        <v>858</v>
      </c>
      <c r="I235">
        <v>154.43999999999994</v>
      </c>
      <c r="J235">
        <v>1012.4399999999999</v>
      </c>
    </row>
    <row r="236" spans="1:10" x14ac:dyDescent="0.3">
      <c r="A236" s="69">
        <v>44057</v>
      </c>
      <c r="B236" t="s">
        <v>940</v>
      </c>
      <c r="C236" s="70">
        <v>20100067596</v>
      </c>
      <c r="D236" t="s">
        <v>730</v>
      </c>
      <c r="E236" t="s">
        <v>698</v>
      </c>
      <c r="F236" t="s">
        <v>689</v>
      </c>
      <c r="G236" t="s">
        <v>668</v>
      </c>
      <c r="H236">
        <v>5218</v>
      </c>
      <c r="I236">
        <v>939.23999999999978</v>
      </c>
      <c r="J236">
        <v>6157.24</v>
      </c>
    </row>
    <row r="237" spans="1:10" x14ac:dyDescent="0.3">
      <c r="A237" s="69">
        <v>44058</v>
      </c>
      <c r="B237" t="s">
        <v>934</v>
      </c>
      <c r="C237" s="70">
        <v>20100012856</v>
      </c>
      <c r="D237" t="s">
        <v>893</v>
      </c>
      <c r="E237" t="s">
        <v>688</v>
      </c>
      <c r="F237" t="s">
        <v>703</v>
      </c>
      <c r="G237" t="s">
        <v>666</v>
      </c>
      <c r="H237">
        <v>273.60000000000002</v>
      </c>
      <c r="I237">
        <v>49.24799999999999</v>
      </c>
      <c r="J237">
        <v>322.84800000000001</v>
      </c>
    </row>
    <row r="238" spans="1:10" x14ac:dyDescent="0.3">
      <c r="A238" s="69">
        <v>44059</v>
      </c>
      <c r="B238" t="s">
        <v>935</v>
      </c>
      <c r="C238" s="70">
        <v>20101908781</v>
      </c>
      <c r="D238" t="s">
        <v>724</v>
      </c>
      <c r="E238" t="s">
        <v>698</v>
      </c>
      <c r="F238" t="s">
        <v>689</v>
      </c>
      <c r="G238" t="s">
        <v>670</v>
      </c>
      <c r="H238">
        <v>810</v>
      </c>
      <c r="I238">
        <v>145.79999999999995</v>
      </c>
      <c r="J238">
        <v>955.8</v>
      </c>
    </row>
    <row r="239" spans="1:10" x14ac:dyDescent="0.3">
      <c r="A239" s="69">
        <v>44060</v>
      </c>
      <c r="B239" t="s">
        <v>936</v>
      </c>
      <c r="C239" s="70">
        <v>20108572958</v>
      </c>
      <c r="D239" t="s">
        <v>823</v>
      </c>
      <c r="E239" t="s">
        <v>688</v>
      </c>
      <c r="F239" t="s">
        <v>703</v>
      </c>
      <c r="G239" t="s">
        <v>666</v>
      </c>
      <c r="H239">
        <v>1332</v>
      </c>
      <c r="I239">
        <v>239.76</v>
      </c>
      <c r="J239">
        <v>1571.76</v>
      </c>
    </row>
    <row r="240" spans="1:10" x14ac:dyDescent="0.3">
      <c r="A240" s="69">
        <v>44061</v>
      </c>
      <c r="B240" t="s">
        <v>937</v>
      </c>
      <c r="C240" s="70">
        <v>20108056941</v>
      </c>
      <c r="D240" t="s">
        <v>897</v>
      </c>
      <c r="E240" t="s">
        <v>692</v>
      </c>
      <c r="F240" t="s">
        <v>689</v>
      </c>
      <c r="G240" t="s">
        <v>670</v>
      </c>
      <c r="H240">
        <v>305</v>
      </c>
      <c r="I240">
        <v>54.899999999999977</v>
      </c>
      <c r="J240">
        <v>359.9</v>
      </c>
    </row>
    <row r="241" spans="1:10" x14ac:dyDescent="0.3">
      <c r="A241" s="69">
        <v>44062</v>
      </c>
      <c r="B241" t="s">
        <v>938</v>
      </c>
      <c r="C241" s="70">
        <v>20102154046</v>
      </c>
      <c r="D241" t="s">
        <v>726</v>
      </c>
      <c r="E241" t="s">
        <v>698</v>
      </c>
      <c r="F241" t="s">
        <v>689</v>
      </c>
      <c r="G241" t="s">
        <v>670</v>
      </c>
      <c r="H241">
        <v>3740</v>
      </c>
      <c r="I241">
        <v>673.19999999999982</v>
      </c>
      <c r="J241">
        <v>4413.2</v>
      </c>
    </row>
    <row r="242" spans="1:10" x14ac:dyDescent="0.3">
      <c r="A242" s="69">
        <v>44063</v>
      </c>
      <c r="B242" t="s">
        <v>939</v>
      </c>
      <c r="C242" s="70">
        <v>20297687655</v>
      </c>
      <c r="D242" t="s">
        <v>728</v>
      </c>
      <c r="E242" t="s">
        <v>692</v>
      </c>
      <c r="F242" t="s">
        <v>703</v>
      </c>
      <c r="G242" t="s">
        <v>666</v>
      </c>
      <c r="H242">
        <v>858</v>
      </c>
      <c r="I242">
        <v>154.43999999999994</v>
      </c>
      <c r="J242">
        <v>1012.4399999999999</v>
      </c>
    </row>
    <row r="243" spans="1:10" x14ac:dyDescent="0.3">
      <c r="A243" s="69">
        <v>44064</v>
      </c>
      <c r="B243" t="s">
        <v>940</v>
      </c>
      <c r="C243" s="70">
        <v>20100067596</v>
      </c>
      <c r="D243" t="s">
        <v>730</v>
      </c>
      <c r="E243" t="s">
        <v>698</v>
      </c>
      <c r="F243" t="s">
        <v>689</v>
      </c>
      <c r="G243" t="s">
        <v>668</v>
      </c>
      <c r="H243">
        <v>5218</v>
      </c>
      <c r="I243">
        <v>939.23999999999978</v>
      </c>
      <c r="J243">
        <v>6157.24</v>
      </c>
    </row>
    <row r="244" spans="1:10" x14ac:dyDescent="0.3">
      <c r="A244" s="69">
        <v>44065</v>
      </c>
      <c r="B244" t="s">
        <v>926</v>
      </c>
      <c r="C244" s="70">
        <v>20102154046</v>
      </c>
      <c r="D244" t="s">
        <v>726</v>
      </c>
      <c r="E244" t="s">
        <v>706</v>
      </c>
      <c r="F244" t="s">
        <v>703</v>
      </c>
      <c r="G244" t="s">
        <v>666</v>
      </c>
      <c r="H244">
        <v>933.5</v>
      </c>
      <c r="I244">
        <v>168.02999999999997</v>
      </c>
      <c r="J244">
        <v>1101.53</v>
      </c>
    </row>
    <row r="245" spans="1:10" x14ac:dyDescent="0.3">
      <c r="A245" s="69">
        <v>44066</v>
      </c>
      <c r="B245" t="s">
        <v>927</v>
      </c>
      <c r="C245" s="70">
        <v>20100118760</v>
      </c>
      <c r="D245" t="s">
        <v>885</v>
      </c>
      <c r="E245" t="s">
        <v>706</v>
      </c>
      <c r="F245" t="s">
        <v>689</v>
      </c>
      <c r="G245" t="s">
        <v>669</v>
      </c>
      <c r="H245">
        <v>491.5</v>
      </c>
      <c r="I245">
        <v>88.469999999999914</v>
      </c>
      <c r="J245">
        <v>579.96999999999991</v>
      </c>
    </row>
    <row r="246" spans="1:10" x14ac:dyDescent="0.3">
      <c r="A246" s="69">
        <v>44067</v>
      </c>
      <c r="B246" t="s">
        <v>928</v>
      </c>
      <c r="C246" s="70">
        <v>20100129028</v>
      </c>
      <c r="D246" t="s">
        <v>828</v>
      </c>
      <c r="E246" t="s">
        <v>698</v>
      </c>
      <c r="F246" t="s">
        <v>703</v>
      </c>
      <c r="G246" t="s">
        <v>669</v>
      </c>
      <c r="H246">
        <v>6750</v>
      </c>
      <c r="I246">
        <v>1215</v>
      </c>
      <c r="J246">
        <v>7965</v>
      </c>
    </row>
    <row r="247" spans="1:10" x14ac:dyDescent="0.3">
      <c r="A247" s="69">
        <v>44068</v>
      </c>
      <c r="B247" t="s">
        <v>929</v>
      </c>
      <c r="C247" s="70">
        <v>20503493650</v>
      </c>
      <c r="D247" t="s">
        <v>775</v>
      </c>
      <c r="E247" t="s">
        <v>688</v>
      </c>
      <c r="F247" t="s">
        <v>703</v>
      </c>
      <c r="G247" t="s">
        <v>666</v>
      </c>
      <c r="H247">
        <v>1402</v>
      </c>
      <c r="I247">
        <v>252.3599999999999</v>
      </c>
      <c r="J247">
        <v>1654.36</v>
      </c>
    </row>
    <row r="248" spans="1:10" x14ac:dyDescent="0.3">
      <c r="A248" s="69">
        <v>44069</v>
      </c>
      <c r="B248" t="s">
        <v>930</v>
      </c>
      <c r="C248" s="70">
        <v>20112999621</v>
      </c>
      <c r="D248" t="s">
        <v>760</v>
      </c>
      <c r="E248" t="s">
        <v>698</v>
      </c>
      <c r="F248" t="s">
        <v>689</v>
      </c>
      <c r="G248" t="s">
        <v>670</v>
      </c>
      <c r="H248">
        <v>1692</v>
      </c>
      <c r="I248">
        <v>304.55999999999995</v>
      </c>
      <c r="J248">
        <v>1996.56</v>
      </c>
    </row>
    <row r="249" spans="1:10" x14ac:dyDescent="0.3">
      <c r="A249" s="69">
        <v>44070</v>
      </c>
      <c r="B249" t="s">
        <v>931</v>
      </c>
      <c r="C249" s="70">
        <v>20330011930</v>
      </c>
      <c r="D249" t="s">
        <v>716</v>
      </c>
      <c r="E249" t="s">
        <v>698</v>
      </c>
      <c r="F249" t="s">
        <v>689</v>
      </c>
      <c r="G249" t="s">
        <v>666</v>
      </c>
      <c r="H249">
        <v>1773</v>
      </c>
      <c r="I249">
        <v>319.13999999999987</v>
      </c>
      <c r="J249">
        <v>2092.14</v>
      </c>
    </row>
    <row r="250" spans="1:10" x14ac:dyDescent="0.3">
      <c r="A250" s="69">
        <v>44071</v>
      </c>
      <c r="B250" t="s">
        <v>932</v>
      </c>
      <c r="C250" s="70">
        <v>20100134455</v>
      </c>
      <c r="D250" t="s">
        <v>718</v>
      </c>
      <c r="E250" t="s">
        <v>698</v>
      </c>
      <c r="F250" t="s">
        <v>689</v>
      </c>
      <c r="G250" t="s">
        <v>669</v>
      </c>
      <c r="H250">
        <v>405.75</v>
      </c>
      <c r="I250">
        <v>73.034999999999968</v>
      </c>
      <c r="J250">
        <v>478.78499999999997</v>
      </c>
    </row>
    <row r="251" spans="1:10" x14ac:dyDescent="0.3">
      <c r="A251" s="69">
        <v>44072</v>
      </c>
      <c r="B251" t="s">
        <v>933</v>
      </c>
      <c r="C251" s="70">
        <v>20100073723</v>
      </c>
      <c r="D251" t="s">
        <v>720</v>
      </c>
      <c r="E251" t="s">
        <v>698</v>
      </c>
      <c r="F251" t="s">
        <v>689</v>
      </c>
      <c r="G251" t="s">
        <v>670</v>
      </c>
      <c r="H251">
        <v>1485.8</v>
      </c>
      <c r="I251">
        <v>267.44399999999996</v>
      </c>
      <c r="J251">
        <v>1753.2439999999999</v>
      </c>
    </row>
    <row r="252" spans="1:10" x14ac:dyDescent="0.3">
      <c r="A252" s="69">
        <v>44073</v>
      </c>
      <c r="B252" t="s">
        <v>934</v>
      </c>
      <c r="C252" s="70">
        <v>20100012856</v>
      </c>
      <c r="D252" t="s">
        <v>893</v>
      </c>
      <c r="E252" t="s">
        <v>688</v>
      </c>
      <c r="F252" t="s">
        <v>703</v>
      </c>
      <c r="G252" t="s">
        <v>666</v>
      </c>
      <c r="H252">
        <v>273.60000000000002</v>
      </c>
      <c r="I252">
        <v>49.24799999999999</v>
      </c>
      <c r="J252">
        <v>322.84800000000001</v>
      </c>
    </row>
    <row r="253" spans="1:10" x14ac:dyDescent="0.3">
      <c r="A253" s="69">
        <v>44074</v>
      </c>
      <c r="B253" t="s">
        <v>935</v>
      </c>
      <c r="C253" s="70">
        <v>20101908781</v>
      </c>
      <c r="D253" t="s">
        <v>724</v>
      </c>
      <c r="E253" t="s">
        <v>698</v>
      </c>
      <c r="F253" t="s">
        <v>689</v>
      </c>
      <c r="G253" t="s">
        <v>670</v>
      </c>
      <c r="H253">
        <v>810</v>
      </c>
      <c r="I253">
        <v>145.79999999999995</v>
      </c>
      <c r="J253">
        <v>955.8</v>
      </c>
    </row>
    <row r="254" spans="1:10" x14ac:dyDescent="0.3">
      <c r="A254" s="69">
        <v>44075</v>
      </c>
      <c r="B254" t="s">
        <v>936</v>
      </c>
      <c r="C254" s="70">
        <v>20108572958</v>
      </c>
      <c r="D254" t="s">
        <v>823</v>
      </c>
      <c r="E254" t="s">
        <v>688</v>
      </c>
      <c r="F254" t="s">
        <v>703</v>
      </c>
      <c r="G254" t="s">
        <v>666</v>
      </c>
      <c r="H254">
        <v>1332</v>
      </c>
      <c r="I254">
        <v>239.76</v>
      </c>
      <c r="J254">
        <v>1571.76</v>
      </c>
    </row>
    <row r="255" spans="1:10" x14ac:dyDescent="0.3">
      <c r="A255" s="69">
        <v>44076</v>
      </c>
      <c r="B255" t="s">
        <v>937</v>
      </c>
      <c r="C255" s="70">
        <v>20108056941</v>
      </c>
      <c r="D255" t="s">
        <v>897</v>
      </c>
      <c r="E255" t="s">
        <v>692</v>
      </c>
      <c r="F255" t="s">
        <v>689</v>
      </c>
      <c r="G255" t="s">
        <v>670</v>
      </c>
      <c r="H255">
        <v>305</v>
      </c>
      <c r="I255">
        <v>54.899999999999977</v>
      </c>
      <c r="J255">
        <v>359.9</v>
      </c>
    </row>
    <row r="256" spans="1:10" x14ac:dyDescent="0.3">
      <c r="A256" s="69">
        <v>44077</v>
      </c>
      <c r="B256" t="s">
        <v>938</v>
      </c>
      <c r="C256" s="70">
        <v>20102154046</v>
      </c>
      <c r="D256" t="s">
        <v>726</v>
      </c>
      <c r="E256" t="s">
        <v>698</v>
      </c>
      <c r="F256" t="s">
        <v>689</v>
      </c>
      <c r="G256" t="s">
        <v>670</v>
      </c>
      <c r="H256">
        <v>3740</v>
      </c>
      <c r="I256">
        <v>673.19999999999982</v>
      </c>
      <c r="J256">
        <v>4413.2</v>
      </c>
    </row>
    <row r="257" spans="1:10" x14ac:dyDescent="0.3">
      <c r="A257" s="69">
        <v>44078</v>
      </c>
      <c r="B257" t="s">
        <v>939</v>
      </c>
      <c r="C257" s="70">
        <v>20297687655</v>
      </c>
      <c r="D257" t="s">
        <v>728</v>
      </c>
      <c r="E257" t="s">
        <v>692</v>
      </c>
      <c r="F257" t="s">
        <v>703</v>
      </c>
      <c r="G257" t="s">
        <v>666</v>
      </c>
      <c r="H257">
        <v>858</v>
      </c>
      <c r="I257">
        <v>154.43999999999994</v>
      </c>
      <c r="J257">
        <v>1012.4399999999999</v>
      </c>
    </row>
    <row r="258" spans="1:10" x14ac:dyDescent="0.3">
      <c r="A258" s="69">
        <v>44079</v>
      </c>
      <c r="B258" t="s">
        <v>940</v>
      </c>
      <c r="C258" s="70">
        <v>20100067596</v>
      </c>
      <c r="D258" t="s">
        <v>730</v>
      </c>
      <c r="E258" t="s">
        <v>698</v>
      </c>
      <c r="F258" t="s">
        <v>689</v>
      </c>
      <c r="G258" t="s">
        <v>668</v>
      </c>
      <c r="H258">
        <v>5218</v>
      </c>
      <c r="I258">
        <v>939.23999999999978</v>
      </c>
      <c r="J258">
        <v>6157.24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25CD-2EBF-4381-BCE7-9DFA99647D4C}">
  <dimension ref="A1:K17"/>
  <sheetViews>
    <sheetView workbookViewId="0">
      <selection activeCell="L5" sqref="L5"/>
    </sheetView>
  </sheetViews>
  <sheetFormatPr baseColWidth="10" defaultRowHeight="14.4" x14ac:dyDescent="0.3"/>
  <cols>
    <col min="2" max="2" width="16.21875" bestFit="1" customWidth="1"/>
    <col min="3" max="3" width="20.77734375" bestFit="1" customWidth="1"/>
    <col min="4" max="4" width="13.77734375" bestFit="1" customWidth="1"/>
    <col min="5" max="5" width="16.21875" bestFit="1" customWidth="1"/>
    <col min="6" max="6" width="11.6640625" bestFit="1" customWidth="1"/>
    <col min="7" max="7" width="16.21875" bestFit="1" customWidth="1"/>
    <col min="8" max="8" width="11.6640625" bestFit="1" customWidth="1"/>
    <col min="9" max="9" width="13.77734375" bestFit="1" customWidth="1"/>
    <col min="10" max="10" width="15.33203125" bestFit="1" customWidth="1"/>
    <col min="11" max="11" width="16.21875" bestFit="1" customWidth="1"/>
    <col min="12" max="12" width="15.33203125" bestFit="1" customWidth="1"/>
    <col min="13" max="13" width="18.44140625" bestFit="1" customWidth="1"/>
    <col min="14" max="14" width="20.109375" bestFit="1" customWidth="1"/>
  </cols>
  <sheetData>
    <row r="1" spans="1:11" x14ac:dyDescent="0.3">
      <c r="B1" s="6" t="s">
        <v>957</v>
      </c>
      <c r="D1" s="71" t="s">
        <v>958</v>
      </c>
    </row>
    <row r="3" spans="1:11" x14ac:dyDescent="0.3">
      <c r="A3" s="5">
        <v>1</v>
      </c>
      <c r="B3" s="5" t="s">
        <v>941</v>
      </c>
    </row>
    <row r="4" spans="1:11" x14ac:dyDescent="0.3">
      <c r="A4" s="5">
        <v>2</v>
      </c>
      <c r="B4" s="5" t="s">
        <v>942</v>
      </c>
    </row>
    <row r="5" spans="1:11" x14ac:dyDescent="0.3">
      <c r="A5" s="5">
        <v>3</v>
      </c>
      <c r="B5" s="5" t="s">
        <v>943</v>
      </c>
      <c r="K5" t="s">
        <v>1028</v>
      </c>
    </row>
    <row r="6" spans="1:11" x14ac:dyDescent="0.3">
      <c r="A6" s="5">
        <v>4</v>
      </c>
      <c r="B6" s="5" t="s">
        <v>944</v>
      </c>
    </row>
    <row r="7" spans="1:11" x14ac:dyDescent="0.3">
      <c r="A7" s="5">
        <v>5</v>
      </c>
      <c r="B7" s="5" t="s">
        <v>945</v>
      </c>
    </row>
    <row r="8" spans="1:11" x14ac:dyDescent="0.3">
      <c r="A8" s="5">
        <v>6</v>
      </c>
      <c r="B8" s="5" t="s">
        <v>946</v>
      </c>
    </row>
    <row r="9" spans="1:11" x14ac:dyDescent="0.3">
      <c r="A9" s="5">
        <v>7</v>
      </c>
      <c r="B9" s="5" t="s">
        <v>947</v>
      </c>
    </row>
    <row r="11" spans="1:11" x14ac:dyDescent="0.3">
      <c r="B11" s="5" t="s">
        <v>961</v>
      </c>
    </row>
    <row r="12" spans="1:11" x14ac:dyDescent="0.3">
      <c r="B12" s="72" t="s">
        <v>967</v>
      </c>
      <c r="C12" s="72" t="s">
        <v>965</v>
      </c>
    </row>
    <row r="13" spans="1:11" x14ac:dyDescent="0.3">
      <c r="B13" s="72" t="s">
        <v>963</v>
      </c>
      <c r="C13" t="s">
        <v>666</v>
      </c>
      <c r="D13" t="s">
        <v>670</v>
      </c>
      <c r="E13" t="s">
        <v>668</v>
      </c>
      <c r="F13" t="s">
        <v>964</v>
      </c>
    </row>
    <row r="14" spans="1:11" x14ac:dyDescent="0.3">
      <c r="B14" s="70" t="s">
        <v>695</v>
      </c>
      <c r="C14" s="73">
        <v>10675.44702</v>
      </c>
      <c r="D14" s="73">
        <v>0</v>
      </c>
      <c r="E14" s="73">
        <v>21697.058249999998</v>
      </c>
      <c r="F14" s="73">
        <v>32372.505270000001</v>
      </c>
    </row>
    <row r="15" spans="1:11" x14ac:dyDescent="0.3">
      <c r="B15" s="70" t="s">
        <v>692</v>
      </c>
      <c r="C15" s="73">
        <v>111771.71396999995</v>
      </c>
      <c r="D15" s="73">
        <v>37793.563920000001</v>
      </c>
      <c r="E15" s="73">
        <v>0</v>
      </c>
      <c r="F15" s="73">
        <v>149565.27789000003</v>
      </c>
    </row>
    <row r="16" spans="1:11" x14ac:dyDescent="0.3">
      <c r="B16" s="70" t="s">
        <v>706</v>
      </c>
      <c r="C16" s="73">
        <v>26522.095949999999</v>
      </c>
      <c r="D16" s="73">
        <v>10954.779570000001</v>
      </c>
      <c r="E16" s="73">
        <v>0</v>
      </c>
      <c r="F16" s="73">
        <v>37476.875520000001</v>
      </c>
    </row>
    <row r="17" spans="2:6" x14ac:dyDescent="0.3">
      <c r="B17" s="70" t="s">
        <v>964</v>
      </c>
      <c r="C17" s="73">
        <v>148969.25693999999</v>
      </c>
      <c r="D17" s="73">
        <v>48748.343489999999</v>
      </c>
      <c r="E17" s="73">
        <v>21697.058249999998</v>
      </c>
      <c r="F17" s="73">
        <v>219414.65868000002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8F87-2B32-444E-BE52-D63D050A8020}">
  <dimension ref="A1:E25"/>
  <sheetViews>
    <sheetView workbookViewId="0">
      <selection activeCell="B15" sqref="B15"/>
    </sheetView>
  </sheetViews>
  <sheetFormatPr baseColWidth="10" defaultRowHeight="14.4" x14ac:dyDescent="0.3"/>
  <cols>
    <col min="2" max="2" width="32.109375" bestFit="1" customWidth="1"/>
    <col min="3" max="3" width="21.44140625" bestFit="1" customWidth="1"/>
    <col min="4" max="4" width="11.44140625" bestFit="1" customWidth="1"/>
    <col min="5" max="5" width="12.44140625" bestFit="1" customWidth="1"/>
    <col min="6" max="7" width="11.44140625" bestFit="1" customWidth="1"/>
    <col min="8" max="8" width="12.44140625" bestFit="1" customWidth="1"/>
    <col min="9" max="10" width="10" customWidth="1"/>
    <col min="11" max="11" width="9" customWidth="1"/>
    <col min="12" max="12" width="12" customWidth="1"/>
    <col min="13" max="13" width="9" customWidth="1"/>
    <col min="14" max="14" width="10" customWidth="1"/>
    <col min="15" max="15" width="9" customWidth="1"/>
    <col min="16" max="16" width="10" customWidth="1"/>
    <col min="17" max="18" width="11" customWidth="1"/>
    <col min="19" max="20" width="9" customWidth="1"/>
    <col min="21" max="21" width="8" customWidth="1"/>
    <col min="22" max="22" width="11.33203125" customWidth="1"/>
    <col min="23" max="23" width="12.5546875" customWidth="1"/>
    <col min="24" max="24" width="10" customWidth="1"/>
    <col min="25" max="27" width="8" customWidth="1"/>
    <col min="28" max="28" width="11.88671875" customWidth="1"/>
    <col min="29" max="29" width="9" customWidth="1"/>
    <col min="30" max="30" width="10" customWidth="1"/>
    <col min="31" max="31" width="9" customWidth="1"/>
    <col min="32" max="32" width="10" customWidth="1"/>
    <col min="33" max="34" width="11" customWidth="1"/>
    <col min="35" max="36" width="9" customWidth="1"/>
    <col min="37" max="37" width="8" customWidth="1"/>
    <col min="38" max="38" width="11.33203125" customWidth="1"/>
    <col min="39" max="39" width="8" customWidth="1"/>
    <col min="40" max="41" width="10" customWidth="1"/>
    <col min="42" max="45" width="8" customWidth="1"/>
    <col min="46" max="46" width="11" customWidth="1"/>
    <col min="47" max="47" width="12.5546875" customWidth="1"/>
    <col min="48" max="48" width="7.109375" customWidth="1"/>
    <col min="49" max="49" width="8" customWidth="1"/>
    <col min="50" max="51" width="7.109375" customWidth="1"/>
    <col min="52" max="54" width="8" customWidth="1"/>
    <col min="55" max="55" width="7" customWidth="1"/>
    <col min="56" max="56" width="9" customWidth="1"/>
    <col min="57" max="57" width="7" customWidth="1"/>
    <col min="58" max="58" width="10" customWidth="1"/>
    <col min="59" max="61" width="8" customWidth="1"/>
    <col min="62" max="62" width="9" customWidth="1"/>
    <col min="63" max="63" width="8" customWidth="1"/>
    <col min="64" max="64" width="7.44140625" customWidth="1"/>
    <col min="65" max="67" width="8" customWidth="1"/>
    <col min="68" max="68" width="9" customWidth="1"/>
    <col min="69" max="70" width="7.44140625" customWidth="1"/>
    <col min="71" max="71" width="8" customWidth="1"/>
    <col min="72" max="72" width="7" customWidth="1"/>
    <col min="73" max="73" width="10" customWidth="1"/>
    <col min="74" max="76" width="8" customWidth="1"/>
    <col min="77" max="77" width="9" customWidth="1"/>
    <col min="78" max="78" width="8" customWidth="1"/>
    <col min="79" max="79" width="6.6640625" customWidth="1"/>
    <col min="80" max="82" width="8" customWidth="1"/>
    <col min="83" max="83" width="9" customWidth="1"/>
    <col min="84" max="84" width="6" customWidth="1"/>
    <col min="85" max="85" width="7" customWidth="1"/>
    <col min="86" max="86" width="8" customWidth="1"/>
    <col min="87" max="87" width="5.109375" customWidth="1"/>
    <col min="88" max="90" width="8" customWidth="1"/>
    <col min="91" max="91" width="9" customWidth="1"/>
    <col min="92" max="92" width="6.109375" customWidth="1"/>
    <col min="93" max="93" width="7" customWidth="1"/>
    <col min="94" max="94" width="8" customWidth="1"/>
    <col min="95" max="95" width="6.109375" customWidth="1"/>
    <col min="96" max="96" width="7" customWidth="1"/>
    <col min="97" max="97" width="8" customWidth="1"/>
    <col min="98" max="98" width="6.109375" customWidth="1"/>
    <col min="99" max="101" width="8" customWidth="1"/>
    <col min="102" max="102" width="9" customWidth="1"/>
    <col min="103" max="103" width="6.109375" customWidth="1"/>
    <col min="104" max="104" width="7.109375" customWidth="1"/>
    <col min="105" max="106" width="8" customWidth="1"/>
    <col min="107" max="108" width="7.109375" customWidth="1"/>
    <col min="109" max="109" width="8" customWidth="1"/>
    <col min="110" max="110" width="7.109375" customWidth="1"/>
    <col min="111" max="113" width="8" customWidth="1"/>
    <col min="114" max="114" width="9" customWidth="1"/>
    <col min="115" max="115" width="7.109375" customWidth="1"/>
    <col min="116" max="116" width="7" customWidth="1"/>
    <col min="117" max="117" width="8" customWidth="1"/>
    <col min="118" max="118" width="12" bestFit="1" customWidth="1"/>
    <col min="119" max="119" width="8.88671875" customWidth="1"/>
    <col min="120" max="121" width="8" customWidth="1"/>
    <col min="122" max="122" width="9" customWidth="1"/>
    <col min="123" max="123" width="7" customWidth="1"/>
    <col min="124" max="124" width="10" customWidth="1"/>
    <col min="125" max="125" width="9" customWidth="1"/>
    <col min="126" max="126" width="8" customWidth="1"/>
    <col min="127" max="127" width="9" customWidth="1"/>
    <col min="128" max="128" width="7" customWidth="1"/>
    <col min="129" max="129" width="9" customWidth="1"/>
    <col min="130" max="130" width="10" customWidth="1"/>
    <col min="131" max="132" width="9" customWidth="1"/>
    <col min="133" max="134" width="8" customWidth="1"/>
    <col min="135" max="135" width="9" customWidth="1"/>
    <col min="136" max="136" width="7" customWidth="1"/>
    <col min="137" max="137" width="8" customWidth="1"/>
    <col min="138" max="138" width="10" customWidth="1"/>
    <col min="139" max="140" width="7" customWidth="1"/>
    <col min="141" max="141" width="9" customWidth="1"/>
    <col min="142" max="143" width="7.109375" customWidth="1"/>
    <col min="144" max="144" width="8" customWidth="1"/>
    <col min="145" max="145" width="9" customWidth="1"/>
    <col min="146" max="146" width="7.109375" customWidth="1"/>
    <col min="147" max="147" width="8" customWidth="1"/>
    <col min="148" max="149" width="7.109375" customWidth="1"/>
    <col min="150" max="150" width="7" customWidth="1"/>
    <col min="151" max="152" width="6" customWidth="1"/>
    <col min="153" max="153" width="10" customWidth="1"/>
    <col min="154" max="154" width="8" customWidth="1"/>
    <col min="155" max="155" width="10" customWidth="1"/>
    <col min="156" max="157" width="6.88671875" customWidth="1"/>
    <col min="158" max="159" width="8" customWidth="1"/>
    <col min="160" max="160" width="7.44140625" customWidth="1"/>
    <col min="161" max="162" width="8" customWidth="1"/>
    <col min="163" max="163" width="10" customWidth="1"/>
    <col min="164" max="165" width="6" customWidth="1"/>
    <col min="166" max="167" width="8" customWidth="1"/>
    <col min="168" max="168" width="6" customWidth="1"/>
    <col min="169" max="169" width="8" customWidth="1"/>
    <col min="170" max="170" width="6.109375" customWidth="1"/>
    <col min="171" max="171" width="8" customWidth="1"/>
    <col min="172" max="172" width="6.109375" customWidth="1"/>
    <col min="173" max="173" width="8" customWidth="1"/>
    <col min="174" max="174" width="6.33203125" customWidth="1"/>
    <col min="175" max="176" width="8" customWidth="1"/>
    <col min="177" max="177" width="7.109375" customWidth="1"/>
    <col min="178" max="178" width="8" customWidth="1"/>
    <col min="179" max="179" width="6" customWidth="1"/>
    <col min="180" max="180" width="8" customWidth="1"/>
    <col min="181" max="181" width="11.88671875" bestFit="1" customWidth="1"/>
    <col min="182" max="182" width="8.33203125" customWidth="1"/>
    <col min="183" max="183" width="9" customWidth="1"/>
    <col min="184" max="184" width="8" customWidth="1"/>
    <col min="185" max="186" width="9" customWidth="1"/>
    <col min="187" max="187" width="7" customWidth="1"/>
    <col min="188" max="188" width="8" customWidth="1"/>
    <col min="189" max="189" width="7" customWidth="1"/>
    <col min="190" max="190" width="6.33203125" customWidth="1"/>
    <col min="191" max="192" width="9" customWidth="1"/>
    <col min="193" max="193" width="8" customWidth="1"/>
    <col min="194" max="194" width="10" customWidth="1"/>
    <col min="195" max="196" width="6.88671875" customWidth="1"/>
    <col min="197" max="197" width="9" customWidth="1"/>
    <col min="198" max="198" width="8" customWidth="1"/>
    <col min="199" max="199" width="7" customWidth="1"/>
    <col min="200" max="200" width="8" customWidth="1"/>
    <col min="201" max="201" width="7" customWidth="1"/>
    <col min="202" max="203" width="9" customWidth="1"/>
    <col min="204" max="204" width="8" customWidth="1"/>
    <col min="205" max="205" width="9" customWidth="1"/>
    <col min="206" max="206" width="7.44140625" customWidth="1"/>
    <col min="207" max="209" width="8" customWidth="1"/>
    <col min="210" max="210" width="9" customWidth="1"/>
    <col min="211" max="211" width="8" customWidth="1"/>
    <col min="212" max="212" width="7" customWidth="1"/>
    <col min="213" max="213" width="8" customWidth="1"/>
    <col min="214" max="214" width="7" customWidth="1"/>
    <col min="215" max="216" width="9" customWidth="1"/>
    <col min="217" max="217" width="8" customWidth="1"/>
    <col min="218" max="218" width="9" customWidth="1"/>
    <col min="219" max="219" width="7" customWidth="1"/>
    <col min="220" max="235" width="8" customWidth="1"/>
    <col min="236" max="236" width="11.33203125" customWidth="1"/>
    <col min="237" max="239" width="8" customWidth="1"/>
    <col min="240" max="240" width="9" customWidth="1"/>
    <col min="241" max="241" width="7.109375" customWidth="1"/>
    <col min="242" max="243" width="8" customWidth="1"/>
    <col min="244" max="244" width="10" customWidth="1"/>
    <col min="245" max="245" width="9" customWidth="1"/>
    <col min="246" max="246" width="8" customWidth="1"/>
    <col min="247" max="247" width="7.44140625" customWidth="1"/>
    <col min="248" max="248" width="8" customWidth="1"/>
    <col min="249" max="249" width="7" customWidth="1"/>
    <col min="250" max="250" width="8" customWidth="1"/>
    <col min="251" max="251" width="7" customWidth="1"/>
    <col min="252" max="252" width="8" customWidth="1"/>
    <col min="253" max="253" width="7" customWidth="1"/>
    <col min="254" max="254" width="8" customWidth="1"/>
    <col min="255" max="255" width="7.109375" customWidth="1"/>
    <col min="256" max="256" width="11" customWidth="1"/>
    <col min="257" max="257" width="12.5546875" bestFit="1" customWidth="1"/>
  </cols>
  <sheetData>
    <row r="1" spans="1:5" x14ac:dyDescent="0.3">
      <c r="B1" s="6" t="s">
        <v>957</v>
      </c>
      <c r="D1" s="71" t="s">
        <v>958</v>
      </c>
    </row>
    <row r="3" spans="1:5" x14ac:dyDescent="0.3">
      <c r="A3" s="5">
        <v>1</v>
      </c>
      <c r="B3" s="5" t="s">
        <v>948</v>
      </c>
    </row>
    <row r="4" spans="1:5" x14ac:dyDescent="0.3">
      <c r="A4" s="5">
        <v>2</v>
      </c>
      <c r="B4" s="5" t="s">
        <v>949</v>
      </c>
    </row>
    <row r="5" spans="1:5" x14ac:dyDescent="0.3">
      <c r="A5" s="5">
        <v>3</v>
      </c>
      <c r="B5" s="5" t="s">
        <v>950</v>
      </c>
    </row>
    <row r="6" spans="1:5" x14ac:dyDescent="0.3">
      <c r="A6" s="5">
        <v>4</v>
      </c>
      <c r="B6" s="5" t="s">
        <v>951</v>
      </c>
    </row>
    <row r="7" spans="1:5" x14ac:dyDescent="0.3">
      <c r="A7" s="5">
        <v>5</v>
      </c>
      <c r="B7" s="5" t="s">
        <v>952</v>
      </c>
    </row>
    <row r="8" spans="1:5" x14ac:dyDescent="0.3">
      <c r="A8" s="5">
        <v>6</v>
      </c>
      <c r="B8" s="5" t="s">
        <v>953</v>
      </c>
    </row>
    <row r="9" spans="1:5" x14ac:dyDescent="0.3">
      <c r="A9" s="5">
        <v>7</v>
      </c>
      <c r="B9" s="5" t="s">
        <v>954</v>
      </c>
    </row>
    <row r="10" spans="1:5" x14ac:dyDescent="0.3">
      <c r="B10" s="72" t="s">
        <v>685</v>
      </c>
      <c r="C10" t="s">
        <v>974</v>
      </c>
    </row>
    <row r="11" spans="1:5" x14ac:dyDescent="0.3">
      <c r="B11" s="5" t="s">
        <v>961</v>
      </c>
    </row>
    <row r="12" spans="1:5" x14ac:dyDescent="0.3">
      <c r="B12" s="72" t="s">
        <v>966</v>
      </c>
      <c r="C12" s="72" t="s">
        <v>965</v>
      </c>
    </row>
    <row r="13" spans="1:5" x14ac:dyDescent="0.3">
      <c r="B13" s="72" t="s">
        <v>963</v>
      </c>
      <c r="C13" t="s">
        <v>698</v>
      </c>
      <c r="D13" t="s">
        <v>688</v>
      </c>
      <c r="E13" t="s">
        <v>964</v>
      </c>
    </row>
    <row r="14" spans="1:5" x14ac:dyDescent="0.3">
      <c r="B14" s="70" t="s">
        <v>669</v>
      </c>
      <c r="C14" s="75">
        <v>53183.815399999999</v>
      </c>
      <c r="D14" s="75">
        <v>4261.9829999999993</v>
      </c>
      <c r="E14" s="75">
        <v>57445.7984</v>
      </c>
    </row>
    <row r="15" spans="1:5" x14ac:dyDescent="0.3">
      <c r="B15" s="74" t="s">
        <v>968</v>
      </c>
      <c r="C15" s="75">
        <v>6035.2043999999996</v>
      </c>
      <c r="D15" s="75"/>
      <c r="E15" s="75">
        <v>6035.2043999999996</v>
      </c>
    </row>
    <row r="16" spans="1:5" x14ac:dyDescent="0.3">
      <c r="B16" s="74" t="s">
        <v>969</v>
      </c>
      <c r="C16" s="75">
        <v>3864.6533999999997</v>
      </c>
      <c r="D16" s="75">
        <v>1038.99</v>
      </c>
      <c r="E16" s="75">
        <v>4903.6433999999999</v>
      </c>
    </row>
    <row r="17" spans="2:5" x14ac:dyDescent="0.3">
      <c r="B17" s="74" t="s">
        <v>970</v>
      </c>
      <c r="C17" s="75">
        <v>5649.84</v>
      </c>
      <c r="D17" s="75">
        <v>1768.0529999999999</v>
      </c>
      <c r="E17" s="75">
        <v>7417.893</v>
      </c>
    </row>
    <row r="18" spans="2:5" x14ac:dyDescent="0.3">
      <c r="B18" s="74" t="s">
        <v>972</v>
      </c>
      <c r="C18" s="75">
        <v>18817.058799999999</v>
      </c>
      <c r="D18" s="75">
        <v>727.46999999999991</v>
      </c>
      <c r="E18" s="75">
        <v>19544.5288</v>
      </c>
    </row>
    <row r="19" spans="2:5" x14ac:dyDescent="0.3">
      <c r="B19" s="74" t="s">
        <v>973</v>
      </c>
      <c r="C19" s="75">
        <v>18817.058799999999</v>
      </c>
      <c r="D19" s="75">
        <v>727.46999999999991</v>
      </c>
      <c r="E19" s="75">
        <v>19544.5288</v>
      </c>
    </row>
    <row r="20" spans="2:5" x14ac:dyDescent="0.3">
      <c r="B20" s="70" t="s">
        <v>667</v>
      </c>
      <c r="C20" s="75">
        <v>129555.51579999998</v>
      </c>
      <c r="D20" s="75">
        <v>5846.4987999999994</v>
      </c>
      <c r="E20" s="75">
        <v>135402.01459999997</v>
      </c>
    </row>
    <row r="21" spans="2:5" x14ac:dyDescent="0.3">
      <c r="B21" s="74" t="s">
        <v>968</v>
      </c>
      <c r="C21" s="75">
        <v>125776.91979999997</v>
      </c>
      <c r="D21" s="75">
        <v>1299.4159999999999</v>
      </c>
      <c r="E21" s="75">
        <v>127076.33579999997</v>
      </c>
    </row>
    <row r="22" spans="2:5" x14ac:dyDescent="0.3">
      <c r="B22" s="74" t="s">
        <v>970</v>
      </c>
      <c r="C22" s="75">
        <v>3778.596</v>
      </c>
      <c r="D22" s="75"/>
      <c r="E22" s="75">
        <v>3778.596</v>
      </c>
    </row>
    <row r="23" spans="2:5" x14ac:dyDescent="0.3">
      <c r="B23" s="74" t="s">
        <v>971</v>
      </c>
      <c r="C23" s="75"/>
      <c r="D23" s="75">
        <v>3670.9327999999996</v>
      </c>
      <c r="E23" s="75">
        <v>3670.9327999999996</v>
      </c>
    </row>
    <row r="24" spans="2:5" x14ac:dyDescent="0.3">
      <c r="B24" s="74" t="s">
        <v>973</v>
      </c>
      <c r="C24" s="75"/>
      <c r="D24" s="75">
        <v>876.15</v>
      </c>
      <c r="E24" s="75">
        <v>876.15</v>
      </c>
    </row>
    <row r="25" spans="2:5" x14ac:dyDescent="0.3">
      <c r="B25" s="70" t="s">
        <v>964</v>
      </c>
      <c r="C25" s="75">
        <v>182739.33119999996</v>
      </c>
      <c r="D25" s="75">
        <v>10108.4818</v>
      </c>
      <c r="E25" s="75">
        <v>192847.81299999997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D6FF-7D5D-48E7-957F-46BD79C57007}">
  <dimension ref="A1:D15"/>
  <sheetViews>
    <sheetView workbookViewId="0"/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0.44140625" bestFit="1" customWidth="1"/>
    <col min="4" max="4" width="12.44140625" bestFit="1" customWidth="1"/>
  </cols>
  <sheetData>
    <row r="1" spans="1:4" x14ac:dyDescent="0.3">
      <c r="A1" s="72" t="s">
        <v>685</v>
      </c>
      <c r="B1" t="s">
        <v>689</v>
      </c>
    </row>
    <row r="3" spans="1:4" x14ac:dyDescent="0.3">
      <c r="A3" s="72" t="s">
        <v>966</v>
      </c>
      <c r="B3" s="72" t="s">
        <v>965</v>
      </c>
    </row>
    <row r="4" spans="1:4" x14ac:dyDescent="0.3">
      <c r="A4" s="72" t="s">
        <v>963</v>
      </c>
      <c r="B4" t="s">
        <v>698</v>
      </c>
      <c r="C4" t="s">
        <v>688</v>
      </c>
      <c r="D4" t="s">
        <v>964</v>
      </c>
    </row>
    <row r="5" spans="1:4" x14ac:dyDescent="0.3">
      <c r="A5" s="70" t="s">
        <v>669</v>
      </c>
      <c r="B5" s="75">
        <v>8946.9959999999992</v>
      </c>
      <c r="C5" s="75">
        <v>4261.9829999999993</v>
      </c>
      <c r="D5" s="75">
        <v>13208.978999999999</v>
      </c>
    </row>
    <row r="6" spans="1:4" x14ac:dyDescent="0.3">
      <c r="A6" s="74" t="s">
        <v>968</v>
      </c>
      <c r="B6" s="75">
        <v>3899.4043999999999</v>
      </c>
      <c r="C6" s="75"/>
      <c r="D6" s="75">
        <v>3899.4043999999999</v>
      </c>
    </row>
    <row r="7" spans="1:4" x14ac:dyDescent="0.3">
      <c r="A7" s="74" t="s">
        <v>969</v>
      </c>
      <c r="B7" s="75"/>
      <c r="C7" s="75">
        <v>1038.99</v>
      </c>
      <c r="D7" s="75">
        <v>1038.99</v>
      </c>
    </row>
    <row r="8" spans="1:4" x14ac:dyDescent="0.3">
      <c r="A8" s="74" t="s">
        <v>970</v>
      </c>
      <c r="B8" s="75"/>
      <c r="C8" s="75">
        <v>1768.0529999999999</v>
      </c>
      <c r="D8" s="75">
        <v>1768.0529999999999</v>
      </c>
    </row>
    <row r="9" spans="1:4" x14ac:dyDescent="0.3">
      <c r="A9" s="74" t="s">
        <v>972</v>
      </c>
      <c r="B9" s="75">
        <v>2523.7957999999999</v>
      </c>
      <c r="C9" s="75">
        <v>727.46999999999991</v>
      </c>
      <c r="D9" s="75">
        <v>3251.2657999999997</v>
      </c>
    </row>
    <row r="10" spans="1:4" x14ac:dyDescent="0.3">
      <c r="A10" s="74" t="s">
        <v>973</v>
      </c>
      <c r="B10" s="75">
        <v>2523.7957999999999</v>
      </c>
      <c r="C10" s="75">
        <v>727.46999999999991</v>
      </c>
      <c r="D10" s="75">
        <v>3251.2657999999997</v>
      </c>
    </row>
    <row r="11" spans="1:4" x14ac:dyDescent="0.3">
      <c r="A11" s="70" t="s">
        <v>667</v>
      </c>
      <c r="B11" s="75">
        <v>125386.71739999999</v>
      </c>
      <c r="C11" s="75">
        <v>2794.7828</v>
      </c>
      <c r="D11" s="75">
        <v>128181.50019999999</v>
      </c>
    </row>
    <row r="12" spans="1:4" x14ac:dyDescent="0.3">
      <c r="A12" s="74" t="s">
        <v>968</v>
      </c>
      <c r="B12" s="75">
        <v>123287.26139999999</v>
      </c>
      <c r="C12" s="75"/>
      <c r="D12" s="75">
        <v>123287.26139999999</v>
      </c>
    </row>
    <row r="13" spans="1:4" x14ac:dyDescent="0.3">
      <c r="A13" s="74" t="s">
        <v>970</v>
      </c>
      <c r="B13" s="75">
        <v>2099.4560000000001</v>
      </c>
      <c r="C13" s="75"/>
      <c r="D13" s="75">
        <v>2099.4560000000001</v>
      </c>
    </row>
    <row r="14" spans="1:4" x14ac:dyDescent="0.3">
      <c r="A14" s="74" t="s">
        <v>971</v>
      </c>
      <c r="B14" s="75"/>
      <c r="C14" s="75">
        <v>2794.7828</v>
      </c>
      <c r="D14" s="75">
        <v>2794.7828</v>
      </c>
    </row>
    <row r="15" spans="1:4" x14ac:dyDescent="0.3">
      <c r="A15" s="70" t="s">
        <v>964</v>
      </c>
      <c r="B15" s="75">
        <v>134333.71340000001</v>
      </c>
      <c r="C15" s="75">
        <v>7056.7657999999992</v>
      </c>
      <c r="D15" s="75">
        <v>141390.47919999997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1A57-DE89-41F8-8AA0-8A377DA3C344}">
  <dimension ref="A1:D16"/>
  <sheetViews>
    <sheetView workbookViewId="0"/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0.44140625" bestFit="1" customWidth="1"/>
    <col min="4" max="4" width="11.88671875" bestFit="1" customWidth="1"/>
  </cols>
  <sheetData>
    <row r="1" spans="1:4" x14ac:dyDescent="0.3">
      <c r="A1" s="72" t="s">
        <v>685</v>
      </c>
      <c r="B1" t="s">
        <v>703</v>
      </c>
    </row>
    <row r="3" spans="1:4" x14ac:dyDescent="0.3">
      <c r="A3" s="72" t="s">
        <v>966</v>
      </c>
      <c r="B3" s="72" t="s">
        <v>965</v>
      </c>
    </row>
    <row r="4" spans="1:4" x14ac:dyDescent="0.3">
      <c r="A4" s="72" t="s">
        <v>963</v>
      </c>
      <c r="B4" t="s">
        <v>698</v>
      </c>
      <c r="C4" t="s">
        <v>688</v>
      </c>
      <c r="D4" t="s">
        <v>964</v>
      </c>
    </row>
    <row r="5" spans="1:4" x14ac:dyDescent="0.3">
      <c r="A5" s="70" t="s">
        <v>669</v>
      </c>
      <c r="B5" s="75">
        <v>44236.819399999993</v>
      </c>
      <c r="C5" s="75"/>
      <c r="D5" s="75">
        <v>44236.819399999993</v>
      </c>
    </row>
    <row r="6" spans="1:4" x14ac:dyDescent="0.3">
      <c r="A6" s="74" t="s">
        <v>968</v>
      </c>
      <c r="B6" s="75">
        <v>2135.7999999999997</v>
      </c>
      <c r="C6" s="75"/>
      <c r="D6" s="75">
        <v>2135.7999999999997</v>
      </c>
    </row>
    <row r="7" spans="1:4" x14ac:dyDescent="0.3">
      <c r="A7" s="74" t="s">
        <v>969</v>
      </c>
      <c r="B7" s="75">
        <v>3864.6533999999997</v>
      </c>
      <c r="C7" s="75"/>
      <c r="D7" s="75">
        <v>3864.6533999999997</v>
      </c>
    </row>
    <row r="8" spans="1:4" x14ac:dyDescent="0.3">
      <c r="A8" s="74" t="s">
        <v>970</v>
      </c>
      <c r="B8" s="75">
        <v>5649.84</v>
      </c>
      <c r="C8" s="75"/>
      <c r="D8" s="75">
        <v>5649.84</v>
      </c>
    </row>
    <row r="9" spans="1:4" x14ac:dyDescent="0.3">
      <c r="A9" s="74" t="s">
        <v>972</v>
      </c>
      <c r="B9" s="75">
        <v>16293.262999999999</v>
      </c>
      <c r="C9" s="75"/>
      <c r="D9" s="75">
        <v>16293.262999999999</v>
      </c>
    </row>
    <row r="10" spans="1:4" x14ac:dyDescent="0.3">
      <c r="A10" s="74" t="s">
        <v>973</v>
      </c>
      <c r="B10" s="75">
        <v>16293.262999999999</v>
      </c>
      <c r="C10" s="75"/>
      <c r="D10" s="75">
        <v>16293.262999999999</v>
      </c>
    </row>
    <row r="11" spans="1:4" x14ac:dyDescent="0.3">
      <c r="A11" s="70" t="s">
        <v>667</v>
      </c>
      <c r="B11" s="75">
        <v>4168.7983999999997</v>
      </c>
      <c r="C11" s="75">
        <v>3051.7159999999999</v>
      </c>
      <c r="D11" s="75">
        <v>7220.5143999999982</v>
      </c>
    </row>
    <row r="12" spans="1:4" x14ac:dyDescent="0.3">
      <c r="A12" s="74" t="s">
        <v>968</v>
      </c>
      <c r="B12" s="75">
        <v>2489.6583999999998</v>
      </c>
      <c r="C12" s="75">
        <v>1299.4159999999999</v>
      </c>
      <c r="D12" s="75">
        <v>3789.0743999999995</v>
      </c>
    </row>
    <row r="13" spans="1:4" x14ac:dyDescent="0.3">
      <c r="A13" s="74" t="s">
        <v>970</v>
      </c>
      <c r="B13" s="75">
        <v>1679.1399999999999</v>
      </c>
      <c r="C13" s="75"/>
      <c r="D13" s="75">
        <v>1679.1399999999999</v>
      </c>
    </row>
    <row r="14" spans="1:4" x14ac:dyDescent="0.3">
      <c r="A14" s="74" t="s">
        <v>971</v>
      </c>
      <c r="B14" s="75"/>
      <c r="C14" s="75">
        <v>876.15</v>
      </c>
      <c r="D14" s="75">
        <v>876.15</v>
      </c>
    </row>
    <row r="15" spans="1:4" x14ac:dyDescent="0.3">
      <c r="A15" s="74" t="s">
        <v>973</v>
      </c>
      <c r="B15" s="75"/>
      <c r="C15" s="75">
        <v>876.15</v>
      </c>
      <c r="D15" s="75">
        <v>876.15</v>
      </c>
    </row>
    <row r="16" spans="1:4" x14ac:dyDescent="0.3">
      <c r="A16" s="70" t="s">
        <v>964</v>
      </c>
      <c r="B16" s="75">
        <v>48405.617799999993</v>
      </c>
      <c r="C16" s="75">
        <v>3051.7159999999999</v>
      </c>
      <c r="D16" s="75">
        <v>51457.333799999993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3"/>
  <sheetViews>
    <sheetView topLeftCell="B1" workbookViewId="0">
      <selection activeCell="K6" sqref="K6"/>
    </sheetView>
  </sheetViews>
  <sheetFormatPr baseColWidth="10" defaultRowHeight="14.4" x14ac:dyDescent="0.3"/>
  <cols>
    <col min="1" max="1" width="21.33203125" customWidth="1"/>
    <col min="2" max="2" width="11" customWidth="1"/>
    <col min="3" max="4" width="12" customWidth="1"/>
    <col min="5" max="6" width="12.5546875" customWidth="1"/>
    <col min="7" max="7" width="6.109375" customWidth="1"/>
    <col min="8" max="8" width="8" customWidth="1"/>
    <col min="9" max="9" width="15.5546875" customWidth="1"/>
    <col min="10" max="10" width="12" customWidth="1"/>
    <col min="11" max="11" width="17.44140625" bestFit="1" customWidth="1"/>
    <col min="12" max="12" width="11.44140625" bestFit="1" customWidth="1"/>
    <col min="13" max="15" width="12.44140625" bestFit="1" customWidth="1"/>
  </cols>
  <sheetData>
    <row r="2" spans="2:15" x14ac:dyDescent="0.3">
      <c r="B2" s="5" t="s">
        <v>959</v>
      </c>
      <c r="N2" s="6" t="s">
        <v>955</v>
      </c>
    </row>
    <row r="3" spans="2:15" x14ac:dyDescent="0.3">
      <c r="B3" s="5" t="s">
        <v>671</v>
      </c>
      <c r="J3" t="s">
        <v>962</v>
      </c>
    </row>
    <row r="4" spans="2:15" x14ac:dyDescent="0.3">
      <c r="K4" s="72" t="s">
        <v>976</v>
      </c>
      <c r="L4" t="s">
        <v>974</v>
      </c>
    </row>
    <row r="6" spans="2:15" x14ac:dyDescent="0.3">
      <c r="K6" s="72" t="s">
        <v>975</v>
      </c>
      <c r="L6" s="72" t="s">
        <v>977</v>
      </c>
    </row>
    <row r="7" spans="2:15" x14ac:dyDescent="0.3">
      <c r="K7" s="72" t="s">
        <v>663</v>
      </c>
      <c r="L7" t="s">
        <v>665</v>
      </c>
      <c r="M7" t="s">
        <v>664</v>
      </c>
      <c r="N7" t="s">
        <v>0</v>
      </c>
      <c r="O7" t="s">
        <v>964</v>
      </c>
    </row>
    <row r="8" spans="2:15" x14ac:dyDescent="0.3">
      <c r="K8" s="70" t="s">
        <v>669</v>
      </c>
      <c r="L8" s="75">
        <v>1882.818</v>
      </c>
      <c r="M8" s="75">
        <v>10460.1</v>
      </c>
      <c r="N8" s="75">
        <v>12342.918000000001</v>
      </c>
      <c r="O8" s="75">
        <v>24685.836000000003</v>
      </c>
    </row>
    <row r="9" spans="2:15" x14ac:dyDescent="0.3">
      <c r="K9" s="70" t="s">
        <v>666</v>
      </c>
      <c r="L9" s="75">
        <v>1456.8479999999993</v>
      </c>
      <c r="M9" s="75">
        <v>8093.6</v>
      </c>
      <c r="N9" s="75">
        <v>9550.4480000000003</v>
      </c>
      <c r="O9" s="75">
        <v>19100.896000000001</v>
      </c>
    </row>
    <row r="10" spans="2:15" x14ac:dyDescent="0.3">
      <c r="K10" s="70" t="s">
        <v>667</v>
      </c>
      <c r="L10" s="75">
        <v>20377.277999999995</v>
      </c>
      <c r="M10" s="75">
        <v>113207.09999999999</v>
      </c>
      <c r="N10" s="75">
        <v>133584.378</v>
      </c>
      <c r="O10" s="75">
        <v>267168.75599999999</v>
      </c>
    </row>
    <row r="11" spans="2:15" x14ac:dyDescent="0.3">
      <c r="K11" s="70" t="s">
        <v>670</v>
      </c>
      <c r="L11" s="75">
        <v>707.37479999999994</v>
      </c>
      <c r="M11" s="75">
        <v>3929.8599999999997</v>
      </c>
      <c r="N11" s="75">
        <v>4637.2348000000002</v>
      </c>
      <c r="O11" s="75">
        <v>9274.4696000000004</v>
      </c>
    </row>
    <row r="12" spans="2:15" x14ac:dyDescent="0.3">
      <c r="K12" s="70" t="s">
        <v>668</v>
      </c>
      <c r="L12" s="75">
        <v>1410.2837999999992</v>
      </c>
      <c r="M12" s="75">
        <v>7834.91</v>
      </c>
      <c r="N12" s="75">
        <v>9245.1937999999991</v>
      </c>
      <c r="O12" s="75">
        <v>18490.387599999998</v>
      </c>
    </row>
    <row r="13" spans="2:15" x14ac:dyDescent="0.3">
      <c r="K13" s="70" t="s">
        <v>964</v>
      </c>
      <c r="L13" s="75">
        <v>25834.602599999998</v>
      </c>
      <c r="M13" s="75">
        <v>143525.56999999998</v>
      </c>
      <c r="N13" s="75">
        <v>169360.17260000002</v>
      </c>
      <c r="O13" s="75">
        <v>338720.34520000004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19"/>
  <sheetViews>
    <sheetView workbookViewId="0">
      <selection activeCell="D7" sqref="D7"/>
    </sheetView>
  </sheetViews>
  <sheetFormatPr baseColWidth="10" defaultRowHeight="14.4" x14ac:dyDescent="0.3"/>
  <cols>
    <col min="1" max="1" width="15.5546875" bestFit="1" customWidth="1"/>
    <col min="2" max="3" width="9" bestFit="1" customWidth="1"/>
    <col min="4" max="4" width="10" bestFit="1" customWidth="1"/>
  </cols>
  <sheetData>
    <row r="4" spans="1:4" x14ac:dyDescent="0.3">
      <c r="A4" s="7" t="s">
        <v>663</v>
      </c>
      <c r="B4" s="7" t="s">
        <v>664</v>
      </c>
      <c r="C4" s="7" t="s">
        <v>665</v>
      </c>
      <c r="D4" s="7" t="s">
        <v>0</v>
      </c>
    </row>
    <row r="5" spans="1:4" x14ac:dyDescent="0.3">
      <c r="A5" t="s">
        <v>666</v>
      </c>
      <c r="B5">
        <v>268.8</v>
      </c>
      <c r="C5">
        <v>48.383999999999958</v>
      </c>
      <c r="D5">
        <v>317.18399999999997</v>
      </c>
    </row>
    <row r="6" spans="1:4" x14ac:dyDescent="0.3">
      <c r="A6" t="s">
        <v>666</v>
      </c>
      <c r="B6">
        <v>1614.8</v>
      </c>
      <c r="C6">
        <v>290.66399999999999</v>
      </c>
      <c r="D6">
        <v>1905.4639999999999</v>
      </c>
    </row>
    <row r="7" spans="1:4" x14ac:dyDescent="0.3">
      <c r="A7" t="s">
        <v>666</v>
      </c>
      <c r="B7">
        <v>1810</v>
      </c>
      <c r="C7">
        <v>325.79999999999973</v>
      </c>
      <c r="D7">
        <v>2135.7999999999997</v>
      </c>
    </row>
    <row r="8" spans="1:4" x14ac:dyDescent="0.3">
      <c r="A8" t="s">
        <v>666</v>
      </c>
      <c r="B8">
        <v>88.5</v>
      </c>
      <c r="C8">
        <v>15.929999999999993</v>
      </c>
      <c r="D8">
        <v>104.42999999999999</v>
      </c>
    </row>
    <row r="9" spans="1:4" x14ac:dyDescent="0.3">
      <c r="A9" t="s">
        <v>668</v>
      </c>
      <c r="B9">
        <v>2436.1799999999998</v>
      </c>
      <c r="C9">
        <v>438.51239999999962</v>
      </c>
      <c r="D9">
        <v>2874.6923999999995</v>
      </c>
    </row>
    <row r="10" spans="1:4" x14ac:dyDescent="0.3">
      <c r="A10" t="s">
        <v>668</v>
      </c>
      <c r="B10">
        <v>5398.73</v>
      </c>
      <c r="C10">
        <v>971.77139999999963</v>
      </c>
      <c r="D10">
        <v>6370.5013999999992</v>
      </c>
    </row>
    <row r="11" spans="1:4" x14ac:dyDescent="0.3">
      <c r="A11" t="s">
        <v>666</v>
      </c>
      <c r="B11">
        <v>136.30000000000001</v>
      </c>
      <c r="C11">
        <v>24.533999999999992</v>
      </c>
      <c r="D11">
        <v>160.834</v>
      </c>
    </row>
    <row r="12" spans="1:4" x14ac:dyDescent="0.3">
      <c r="A12" t="s">
        <v>666</v>
      </c>
      <c r="B12">
        <v>1549.6</v>
      </c>
      <c r="C12">
        <v>278.92799999999988</v>
      </c>
      <c r="D12">
        <v>1828.5279999999998</v>
      </c>
    </row>
    <row r="13" spans="1:4" x14ac:dyDescent="0.3">
      <c r="A13" t="s">
        <v>670</v>
      </c>
      <c r="B13">
        <v>950</v>
      </c>
      <c r="C13">
        <v>171</v>
      </c>
      <c r="D13">
        <v>1121</v>
      </c>
    </row>
    <row r="14" spans="1:4" x14ac:dyDescent="0.3">
      <c r="A14" t="s">
        <v>666</v>
      </c>
      <c r="B14">
        <v>403.2</v>
      </c>
      <c r="C14">
        <v>72.575999999999965</v>
      </c>
      <c r="D14">
        <v>475.77599999999995</v>
      </c>
    </row>
    <row r="15" spans="1:4" x14ac:dyDescent="0.3">
      <c r="A15" t="s">
        <v>670</v>
      </c>
      <c r="B15">
        <v>1689.78</v>
      </c>
      <c r="C15">
        <v>304.16039999999998</v>
      </c>
      <c r="D15">
        <v>1993.9404</v>
      </c>
    </row>
    <row r="16" spans="1:4" x14ac:dyDescent="0.3">
      <c r="A16" t="s">
        <v>670</v>
      </c>
      <c r="B16">
        <v>103.2</v>
      </c>
      <c r="C16">
        <v>18.575999999999993</v>
      </c>
      <c r="D16">
        <v>121.776</v>
      </c>
    </row>
    <row r="17" spans="1:4" x14ac:dyDescent="0.3">
      <c r="A17" t="s">
        <v>670</v>
      </c>
      <c r="B17">
        <v>899</v>
      </c>
      <c r="C17">
        <v>161.81999999999994</v>
      </c>
      <c r="D17">
        <v>1060.82</v>
      </c>
    </row>
    <row r="18" spans="1:4" x14ac:dyDescent="0.3">
      <c r="A18" t="s">
        <v>666</v>
      </c>
      <c r="B18">
        <v>2222.4</v>
      </c>
      <c r="C18">
        <v>400.0319999999997</v>
      </c>
      <c r="D18">
        <v>2622.4319999999998</v>
      </c>
    </row>
    <row r="19" spans="1:4" x14ac:dyDescent="0.3">
      <c r="A19" t="s">
        <v>670</v>
      </c>
      <c r="B19">
        <v>287.88</v>
      </c>
      <c r="C19">
        <v>51.818399999999997</v>
      </c>
      <c r="D19">
        <v>339.69839999999999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6"/>
  <sheetViews>
    <sheetView workbookViewId="0">
      <selection activeCell="D7" sqref="D7"/>
    </sheetView>
  </sheetViews>
  <sheetFormatPr baseColWidth="10" defaultRowHeight="14.4" x14ac:dyDescent="0.3"/>
  <cols>
    <col min="1" max="1" width="15.5546875" bestFit="1" customWidth="1"/>
  </cols>
  <sheetData>
    <row r="5" spans="1:4" x14ac:dyDescent="0.3">
      <c r="A5" s="7" t="s">
        <v>663</v>
      </c>
      <c r="B5" s="7" t="s">
        <v>664</v>
      </c>
      <c r="C5" s="7" t="s">
        <v>665</v>
      </c>
      <c r="D5" s="7" t="s">
        <v>0</v>
      </c>
    </row>
    <row r="6" spans="1:4" x14ac:dyDescent="0.3">
      <c r="A6" t="s">
        <v>669</v>
      </c>
      <c r="B6">
        <v>7551</v>
      </c>
      <c r="C6">
        <v>1359.1800000000003</v>
      </c>
      <c r="D6">
        <v>8910.18</v>
      </c>
    </row>
    <row r="7" spans="1:4" x14ac:dyDescent="0.3">
      <c r="A7" t="s">
        <v>667</v>
      </c>
      <c r="B7">
        <v>5000</v>
      </c>
      <c r="C7">
        <v>900</v>
      </c>
      <c r="D7">
        <v>5900</v>
      </c>
    </row>
    <row r="8" spans="1:4" x14ac:dyDescent="0.3">
      <c r="A8" t="s">
        <v>669</v>
      </c>
      <c r="B8">
        <v>1119.9000000000001</v>
      </c>
      <c r="C8">
        <v>201.58199999999988</v>
      </c>
      <c r="D8">
        <v>1321.482</v>
      </c>
    </row>
    <row r="9" spans="1:4" x14ac:dyDescent="0.3">
      <c r="A9" t="s">
        <v>667</v>
      </c>
      <c r="B9">
        <v>96913</v>
      </c>
      <c r="C9">
        <v>17444.339999999997</v>
      </c>
      <c r="D9">
        <v>114357.34</v>
      </c>
    </row>
    <row r="10" spans="1:4" x14ac:dyDescent="0.3">
      <c r="A10" t="s">
        <v>669</v>
      </c>
      <c r="B10">
        <v>1176</v>
      </c>
      <c r="C10">
        <v>211.67999999999984</v>
      </c>
      <c r="D10">
        <v>1387.6799999999998</v>
      </c>
    </row>
    <row r="11" spans="1:4" x14ac:dyDescent="0.3">
      <c r="A11" t="s">
        <v>667</v>
      </c>
      <c r="B11">
        <v>1101.2</v>
      </c>
      <c r="C11">
        <v>198.21599999999989</v>
      </c>
      <c r="D11">
        <v>1299.4159999999999</v>
      </c>
    </row>
    <row r="12" spans="1:4" x14ac:dyDescent="0.3">
      <c r="A12" t="s">
        <v>667</v>
      </c>
      <c r="B12">
        <v>5023</v>
      </c>
      <c r="C12">
        <v>904.13999999999942</v>
      </c>
      <c r="D12">
        <v>5927.1399999999994</v>
      </c>
    </row>
    <row r="13" spans="1:4" x14ac:dyDescent="0.3">
      <c r="A13" t="s">
        <v>669</v>
      </c>
      <c r="B13">
        <v>613.20000000000005</v>
      </c>
      <c r="C13">
        <v>110.37599999999998</v>
      </c>
      <c r="D13">
        <v>723.57600000000002</v>
      </c>
    </row>
    <row r="14" spans="1:4" x14ac:dyDescent="0.3">
      <c r="A14" t="s">
        <v>667</v>
      </c>
      <c r="B14">
        <v>2169</v>
      </c>
      <c r="C14">
        <v>390.42000000000007</v>
      </c>
      <c r="D14">
        <v>2559.42</v>
      </c>
    </row>
    <row r="15" spans="1:4" x14ac:dyDescent="0.3">
      <c r="A15" t="s">
        <v>667</v>
      </c>
      <c r="B15">
        <v>2500.9</v>
      </c>
      <c r="C15">
        <v>450.16199999999981</v>
      </c>
      <c r="D15">
        <v>2951.0619999999999</v>
      </c>
    </row>
    <row r="16" spans="1:4" x14ac:dyDescent="0.3">
      <c r="A16" t="s">
        <v>667</v>
      </c>
      <c r="B16">
        <v>500</v>
      </c>
      <c r="C16">
        <v>90</v>
      </c>
      <c r="D16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zoomScale="85" zoomScaleNormal="85" workbookViewId="0">
      <selection activeCell="I25" sqref="I25"/>
    </sheetView>
  </sheetViews>
  <sheetFormatPr baseColWidth="10" defaultRowHeight="14.4" x14ac:dyDescent="0.3"/>
  <cols>
    <col min="2" max="2" width="20.44140625" customWidth="1"/>
    <col min="7" max="7" width="22" customWidth="1"/>
    <col min="12" max="12" width="20.44140625" customWidth="1"/>
  </cols>
  <sheetData>
    <row r="1" spans="1:14" ht="19.8" x14ac:dyDescent="0.3">
      <c r="A1" s="131" t="s">
        <v>662</v>
      </c>
      <c r="B1" s="131"/>
      <c r="C1" s="131"/>
      <c r="D1" s="131"/>
      <c r="E1" s="131"/>
      <c r="F1" s="131"/>
      <c r="G1" s="131"/>
      <c r="H1" s="1"/>
      <c r="I1" s="1"/>
      <c r="J1" s="1"/>
    </row>
    <row r="2" spans="1:14" ht="18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4" ht="18.600000000000001" thickBot="1" x14ac:dyDescent="0.4">
      <c r="A3" s="61" t="s">
        <v>652</v>
      </c>
      <c r="B3" s="3"/>
      <c r="C3" s="3"/>
      <c r="D3" s="3"/>
      <c r="E3" s="3"/>
      <c r="F3" s="3"/>
      <c r="G3" s="3"/>
      <c r="H3" s="3"/>
      <c r="I3" s="3"/>
      <c r="J3" s="3"/>
    </row>
    <row r="5" spans="1:14" x14ac:dyDescent="0.3">
      <c r="B5" s="5"/>
    </row>
    <row r="6" spans="1:14" x14ac:dyDescent="0.3">
      <c r="A6" s="5">
        <v>1</v>
      </c>
      <c r="B6" s="5" t="s">
        <v>653</v>
      </c>
      <c r="I6" s="6" t="s">
        <v>673</v>
      </c>
    </row>
    <row r="7" spans="1:14" x14ac:dyDescent="0.3">
      <c r="A7" s="5">
        <v>2</v>
      </c>
      <c r="B7" s="5" t="s">
        <v>654</v>
      </c>
      <c r="I7" s="6" t="s">
        <v>673</v>
      </c>
    </row>
    <row r="9" spans="1:14" ht="18.600000000000001" thickBot="1" x14ac:dyDescent="0.4">
      <c r="B9" s="62" t="s">
        <v>655</v>
      </c>
      <c r="C9" s="63" t="s">
        <v>656</v>
      </c>
      <c r="D9" s="63" t="s">
        <v>657</v>
      </c>
      <c r="G9" s="62" t="s">
        <v>655</v>
      </c>
      <c r="H9" s="63" t="s">
        <v>657</v>
      </c>
      <c r="I9" s="63" t="s">
        <v>656</v>
      </c>
      <c r="L9" s="62" t="s">
        <v>655</v>
      </c>
      <c r="M9" s="63" t="s">
        <v>657</v>
      </c>
      <c r="N9" s="63" t="s">
        <v>656</v>
      </c>
    </row>
    <row r="10" spans="1:14" ht="17.399999999999999" x14ac:dyDescent="0.3">
      <c r="B10" s="64" t="s">
        <v>658</v>
      </c>
      <c r="C10" s="65">
        <f>+D10*10%</f>
        <v>5.4</v>
      </c>
      <c r="D10" s="65">
        <v>54</v>
      </c>
      <c r="G10" s="66" t="s">
        <v>659</v>
      </c>
      <c r="H10" s="65">
        <v>54</v>
      </c>
      <c r="I10" s="65">
        <f>+H10*10%</f>
        <v>5.4</v>
      </c>
      <c r="L10" s="66" t="s">
        <v>659</v>
      </c>
      <c r="M10" s="65">
        <v>54</v>
      </c>
      <c r="N10" s="65">
        <f>+M10*10%</f>
        <v>5.4</v>
      </c>
    </row>
    <row r="11" spans="1:14" ht="17.399999999999999" x14ac:dyDescent="0.3">
      <c r="B11" s="64" t="s">
        <v>660</v>
      </c>
      <c r="C11" s="67">
        <v>5</v>
      </c>
      <c r="D11" s="67">
        <v>60</v>
      </c>
      <c r="G11" s="64" t="s">
        <v>660</v>
      </c>
      <c r="H11" s="67">
        <v>40</v>
      </c>
      <c r="I11" s="67">
        <f>+H11*10%</f>
        <v>4</v>
      </c>
      <c r="L11" s="64" t="s">
        <v>660</v>
      </c>
      <c r="M11" s="67">
        <v>40</v>
      </c>
      <c r="N11" s="67">
        <f>+M11*10%</f>
        <v>4</v>
      </c>
    </row>
    <row r="12" spans="1:14" ht="17.399999999999999" x14ac:dyDescent="0.3">
      <c r="B12" s="66" t="s">
        <v>659</v>
      </c>
      <c r="C12" s="67">
        <v>6</v>
      </c>
      <c r="D12" s="67">
        <v>70</v>
      </c>
      <c r="G12" s="64" t="s">
        <v>658</v>
      </c>
      <c r="H12" s="67">
        <v>65</v>
      </c>
      <c r="I12" s="67">
        <f>+H12*10%</f>
        <v>6.5</v>
      </c>
      <c r="L12" s="64" t="s">
        <v>658</v>
      </c>
      <c r="M12" s="67">
        <v>65</v>
      </c>
      <c r="N12" s="67">
        <f>+M12*10%</f>
        <v>6.5</v>
      </c>
    </row>
    <row r="13" spans="1:14" ht="17.399999999999999" x14ac:dyDescent="0.3">
      <c r="B13" s="64" t="s">
        <v>661</v>
      </c>
      <c r="C13" s="67">
        <v>2</v>
      </c>
      <c r="D13" s="67">
        <v>50</v>
      </c>
      <c r="G13" s="64" t="s">
        <v>661</v>
      </c>
      <c r="H13" s="67">
        <v>30</v>
      </c>
      <c r="I13" s="67">
        <f>+H13*10%</f>
        <v>3</v>
      </c>
      <c r="L13" s="64" t="s">
        <v>661</v>
      </c>
      <c r="M13" s="67">
        <v>30</v>
      </c>
      <c r="N13" s="67">
        <f>+M13*10%</f>
        <v>3</v>
      </c>
    </row>
    <row r="17" spans="5:7" x14ac:dyDescent="0.3">
      <c r="E17" s="78" t="s">
        <v>655</v>
      </c>
      <c r="F17" s="78" t="s">
        <v>656</v>
      </c>
      <c r="G17" s="78" t="s">
        <v>657</v>
      </c>
    </row>
    <row r="18" spans="5:7" x14ac:dyDescent="0.3">
      <c r="E18" s="9" t="s">
        <v>658</v>
      </c>
      <c r="F18" s="77">
        <v>18.399999999999999</v>
      </c>
      <c r="G18" s="77">
        <v>184</v>
      </c>
    </row>
    <row r="19" spans="5:7" x14ac:dyDescent="0.3">
      <c r="E19" s="9" t="s">
        <v>660</v>
      </c>
      <c r="F19" s="77">
        <v>13</v>
      </c>
      <c r="G19" s="77">
        <v>140</v>
      </c>
    </row>
    <row r="20" spans="5:7" x14ac:dyDescent="0.3">
      <c r="E20" s="9" t="s">
        <v>659</v>
      </c>
      <c r="F20" s="77">
        <v>16.8</v>
      </c>
      <c r="G20" s="77">
        <v>178</v>
      </c>
    </row>
    <row r="21" spans="5:7" x14ac:dyDescent="0.3">
      <c r="E21" s="9" t="s">
        <v>661</v>
      </c>
      <c r="F21" s="77">
        <v>8</v>
      </c>
      <c r="G21" s="77">
        <v>110</v>
      </c>
    </row>
  </sheetData>
  <dataConsolidate topLabels="1" link="1">
    <dataRefs count="3">
      <dataRef ref="B9:D13" sheet="CONSOL"/>
      <dataRef ref="G9:I13" sheet="CONSOL"/>
      <dataRef ref="L9:N13" sheet="CONSOL"/>
    </dataRefs>
  </dataConsolidate>
  <mergeCells count="1">
    <mergeCell ref="A1:G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F2F0-6001-4EEA-9FCB-8802EDD031C5}">
  <dimension ref="C6:F22"/>
  <sheetViews>
    <sheetView workbookViewId="0">
      <selection activeCell="C6" sqref="C6:F22"/>
    </sheetView>
  </sheetViews>
  <sheetFormatPr baseColWidth="10" defaultRowHeight="14.4" outlineLevelRow="1" x14ac:dyDescent="0.3"/>
  <cols>
    <col min="3" max="3" width="2.21875" customWidth="1"/>
    <col min="4" max="4" width="9.33203125" customWidth="1"/>
  </cols>
  <sheetData>
    <row r="6" spans="3:6" x14ac:dyDescent="0.3">
      <c r="C6" s="132" t="s">
        <v>979</v>
      </c>
      <c r="D6" s="132"/>
      <c r="E6" s="78" t="s">
        <v>656</v>
      </c>
      <c r="F6" s="78" t="s">
        <v>657</v>
      </c>
    </row>
    <row r="7" spans="3:6" hidden="1" outlineLevel="1" x14ac:dyDescent="0.3">
      <c r="C7" s="9"/>
      <c r="D7" s="9" t="s">
        <v>978</v>
      </c>
      <c r="E7" s="77">
        <f>CONSOL!$C$10</f>
        <v>5.4</v>
      </c>
      <c r="F7" s="77">
        <f>CONSOL!$D$10</f>
        <v>54</v>
      </c>
    </row>
    <row r="8" spans="3:6" hidden="1" outlineLevel="1" collapsed="1" x14ac:dyDescent="0.3">
      <c r="C8" s="9"/>
      <c r="D8" s="9" t="s">
        <v>978</v>
      </c>
      <c r="E8" s="77">
        <f>CONSOL!$I$12</f>
        <v>6.5</v>
      </c>
      <c r="F8" s="77">
        <f>CONSOL!$H$12</f>
        <v>65</v>
      </c>
    </row>
    <row r="9" spans="3:6" hidden="1" outlineLevel="1" collapsed="1" x14ac:dyDescent="0.3">
      <c r="C9" s="9"/>
      <c r="D9" s="9" t="s">
        <v>978</v>
      </c>
      <c r="E9" s="77">
        <f>CONSOL!$N$12</f>
        <v>6.5</v>
      </c>
      <c r="F9" s="77">
        <f>CONSOL!$M$12</f>
        <v>65</v>
      </c>
    </row>
    <row r="10" spans="3:6" collapsed="1" x14ac:dyDescent="0.3">
      <c r="C10" s="9" t="s">
        <v>658</v>
      </c>
      <c r="D10" s="9"/>
      <c r="E10" s="77">
        <f>SUM(E7:E9)</f>
        <v>18.399999999999999</v>
      </c>
      <c r="F10" s="77">
        <f>SUM(F7:F9)</f>
        <v>184</v>
      </c>
    </row>
    <row r="11" spans="3:6" hidden="1" outlineLevel="1" x14ac:dyDescent="0.3">
      <c r="C11" s="9"/>
      <c r="D11" s="9" t="s">
        <v>978</v>
      </c>
      <c r="E11" s="77">
        <f>CONSOL!$C$11</f>
        <v>5</v>
      </c>
      <c r="F11" s="77">
        <f>CONSOL!$D$11</f>
        <v>60</v>
      </c>
    </row>
    <row r="12" spans="3:6" hidden="1" outlineLevel="1" collapsed="1" x14ac:dyDescent="0.3">
      <c r="C12" s="9"/>
      <c r="D12" s="9" t="s">
        <v>978</v>
      </c>
      <c r="E12" s="77">
        <f>CONSOL!$I$11</f>
        <v>4</v>
      </c>
      <c r="F12" s="77">
        <f>CONSOL!$H$11</f>
        <v>40</v>
      </c>
    </row>
    <row r="13" spans="3:6" hidden="1" outlineLevel="1" collapsed="1" x14ac:dyDescent="0.3">
      <c r="C13" s="9"/>
      <c r="D13" s="9" t="s">
        <v>978</v>
      </c>
      <c r="E13" s="77">
        <f>CONSOL!$N$11</f>
        <v>4</v>
      </c>
      <c r="F13" s="77">
        <f>CONSOL!$M$11</f>
        <v>40</v>
      </c>
    </row>
    <row r="14" spans="3:6" collapsed="1" x14ac:dyDescent="0.3">
      <c r="C14" s="9" t="s">
        <v>660</v>
      </c>
      <c r="D14" s="9"/>
      <c r="E14" s="77">
        <f>SUM(E11:E13)</f>
        <v>13</v>
      </c>
      <c r="F14" s="77">
        <f>SUM(F11:F13)</f>
        <v>140</v>
      </c>
    </row>
    <row r="15" spans="3:6" hidden="1" outlineLevel="1" x14ac:dyDescent="0.3">
      <c r="C15" s="9"/>
      <c r="D15" s="9" t="s">
        <v>978</v>
      </c>
      <c r="E15" s="77">
        <f>CONSOL!$C$12</f>
        <v>6</v>
      </c>
      <c r="F15" s="77">
        <f>CONSOL!$D$12</f>
        <v>70</v>
      </c>
    </row>
    <row r="16" spans="3:6" hidden="1" outlineLevel="1" collapsed="1" x14ac:dyDescent="0.3">
      <c r="C16" s="9"/>
      <c r="D16" s="9" t="s">
        <v>978</v>
      </c>
      <c r="E16" s="77">
        <f>CONSOL!$I$10</f>
        <v>5.4</v>
      </c>
      <c r="F16" s="77">
        <f>CONSOL!$H$10</f>
        <v>54</v>
      </c>
    </row>
    <row r="17" spans="3:6" hidden="1" outlineLevel="1" collapsed="1" x14ac:dyDescent="0.3">
      <c r="C17" s="9"/>
      <c r="D17" s="9" t="s">
        <v>978</v>
      </c>
      <c r="E17" s="77">
        <f>CONSOL!$N$10</f>
        <v>5.4</v>
      </c>
      <c r="F17" s="77">
        <f>CONSOL!$M$10</f>
        <v>54</v>
      </c>
    </row>
    <row r="18" spans="3:6" collapsed="1" x14ac:dyDescent="0.3">
      <c r="C18" s="9" t="s">
        <v>659</v>
      </c>
      <c r="D18" s="9"/>
      <c r="E18" s="77">
        <f>SUM(E15:E17)</f>
        <v>16.8</v>
      </c>
      <c r="F18" s="77">
        <f>SUM(F15:F17)</f>
        <v>178</v>
      </c>
    </row>
    <row r="19" spans="3:6" hidden="1" outlineLevel="1" x14ac:dyDescent="0.3">
      <c r="C19" s="9"/>
      <c r="D19" s="9" t="s">
        <v>978</v>
      </c>
      <c r="E19" s="77">
        <f>CONSOL!$C$13</f>
        <v>2</v>
      </c>
      <c r="F19" s="77">
        <f>CONSOL!$D$13</f>
        <v>50</v>
      </c>
    </row>
    <row r="20" spans="3:6" hidden="1" outlineLevel="1" collapsed="1" x14ac:dyDescent="0.3">
      <c r="C20" s="9"/>
      <c r="D20" s="9" t="s">
        <v>978</v>
      </c>
      <c r="E20" s="77">
        <f>CONSOL!$I$13</f>
        <v>3</v>
      </c>
      <c r="F20" s="77">
        <f>CONSOL!$H$13</f>
        <v>30</v>
      </c>
    </row>
    <row r="21" spans="3:6" hidden="1" outlineLevel="1" collapsed="1" x14ac:dyDescent="0.3">
      <c r="C21" s="9"/>
      <c r="D21" s="9" t="s">
        <v>978</v>
      </c>
      <c r="E21" s="77">
        <f>CONSOL!$N$13</f>
        <v>3</v>
      </c>
      <c r="F21" s="77">
        <f>CONSOL!$M$13</f>
        <v>30</v>
      </c>
    </row>
    <row r="22" spans="3:6" collapsed="1" x14ac:dyDescent="0.3">
      <c r="C22" s="9" t="s">
        <v>661</v>
      </c>
      <c r="D22" s="9"/>
      <c r="E22" s="77">
        <f>SUM(E19:E21)</f>
        <v>8</v>
      </c>
      <c r="F22" s="77">
        <f>SUM(F19:F21)</f>
        <v>110</v>
      </c>
    </row>
  </sheetData>
  <dataConsolidate topLabels="1" link="1">
    <dataRefs count="3">
      <dataRef ref="B9:D13" sheet="CONSOL"/>
      <dataRef ref="G9:I13" sheet="CONSOL"/>
      <dataRef ref="L9:N13" sheet="CONSOL"/>
    </dataRefs>
  </dataConsolidate>
  <mergeCells count="1">
    <mergeCell ref="C6:D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6"/>
  <sheetViews>
    <sheetView topLeftCell="A2" zoomScale="67" zoomScaleNormal="85" workbookViewId="0">
      <selection activeCell="K15" sqref="K15"/>
    </sheetView>
  </sheetViews>
  <sheetFormatPr baseColWidth="10" defaultRowHeight="14.4" x14ac:dyDescent="0.3"/>
  <cols>
    <col min="1" max="1" width="22.33203125" bestFit="1" customWidth="1"/>
    <col min="2" max="2" width="20.44140625" bestFit="1" customWidth="1"/>
    <col min="3" max="3" width="16.6640625" bestFit="1" customWidth="1"/>
    <col min="4" max="6" width="14.21875" style="75" bestFit="1" customWidth="1"/>
    <col min="7" max="7" width="16" customWidth="1"/>
    <col min="12" max="12" width="14.33203125" customWidth="1"/>
  </cols>
  <sheetData>
    <row r="1" spans="1:14" ht="19.8" x14ac:dyDescent="0.3">
      <c r="A1" s="131" t="s">
        <v>1</v>
      </c>
      <c r="B1" s="131"/>
      <c r="C1" s="131"/>
      <c r="D1" s="131"/>
      <c r="E1" s="131"/>
      <c r="F1" s="131"/>
      <c r="G1" s="131"/>
      <c r="H1" s="1"/>
      <c r="I1" s="1"/>
      <c r="J1" s="1"/>
    </row>
    <row r="2" spans="1:14" ht="18" x14ac:dyDescent="0.35">
      <c r="A2" s="2"/>
      <c r="B2" s="2"/>
      <c r="C2" s="2"/>
      <c r="D2" s="88"/>
      <c r="E2" s="88"/>
      <c r="F2" s="88"/>
      <c r="G2" s="2"/>
      <c r="H2" s="2"/>
      <c r="I2" s="2"/>
      <c r="J2" s="2"/>
    </row>
    <row r="3" spans="1:14" ht="18.600000000000001" thickBot="1" x14ac:dyDescent="0.4">
      <c r="A3" s="61" t="s">
        <v>652</v>
      </c>
      <c r="B3" s="3"/>
      <c r="C3" s="3"/>
      <c r="D3" s="89"/>
      <c r="E3" s="89"/>
      <c r="F3" s="89"/>
      <c r="G3" s="3"/>
      <c r="H3" s="3"/>
      <c r="I3" s="3"/>
      <c r="J3" s="3"/>
    </row>
    <row r="5" spans="1:14" x14ac:dyDescent="0.3">
      <c r="A5" s="5" t="s">
        <v>2</v>
      </c>
    </row>
    <row r="7" spans="1:14" x14ac:dyDescent="0.3">
      <c r="A7" s="79" t="s">
        <v>3</v>
      </c>
      <c r="B7" s="80" t="s">
        <v>4</v>
      </c>
      <c r="C7" s="80" t="s">
        <v>5</v>
      </c>
      <c r="D7" s="90" t="s">
        <v>6</v>
      </c>
      <c r="E7" s="90" t="s">
        <v>7</v>
      </c>
      <c r="F7" s="90" t="s">
        <v>8</v>
      </c>
      <c r="G7" s="81" t="s">
        <v>9</v>
      </c>
      <c r="J7" s="5" t="s">
        <v>6</v>
      </c>
      <c r="L7" s="8"/>
      <c r="M7" s="8"/>
      <c r="N7" s="28" t="s">
        <v>956</v>
      </c>
    </row>
    <row r="8" spans="1:14" x14ac:dyDescent="0.3">
      <c r="A8" s="82" t="s">
        <v>386</v>
      </c>
      <c r="B8" s="83" t="s">
        <v>385</v>
      </c>
      <c r="C8" s="83" t="s">
        <v>51</v>
      </c>
      <c r="D8" s="91">
        <v>3145.5</v>
      </c>
      <c r="E8" s="91">
        <v>3495</v>
      </c>
      <c r="F8" s="91">
        <v>6990.1</v>
      </c>
      <c r="G8" s="84" t="s">
        <v>18</v>
      </c>
      <c r="J8" s="8" t="s">
        <v>14</v>
      </c>
      <c r="K8" s="8"/>
      <c r="L8" s="8"/>
      <c r="M8" s="8"/>
    </row>
    <row r="9" spans="1:14" x14ac:dyDescent="0.3">
      <c r="A9" s="82" t="s">
        <v>449</v>
      </c>
      <c r="B9" s="83" t="s">
        <v>450</v>
      </c>
      <c r="C9" s="83" t="s">
        <v>17</v>
      </c>
      <c r="D9" s="91">
        <v>3141.9</v>
      </c>
      <c r="E9" s="91">
        <v>3491</v>
      </c>
      <c r="F9" s="91">
        <v>6982.1</v>
      </c>
      <c r="G9" s="84" t="s">
        <v>13</v>
      </c>
      <c r="J9" s="8" t="s">
        <v>19</v>
      </c>
      <c r="K9" s="8"/>
      <c r="L9" s="8"/>
      <c r="M9" s="8"/>
    </row>
    <row r="10" spans="1:14" x14ac:dyDescent="0.3">
      <c r="A10" s="82" t="s">
        <v>235</v>
      </c>
      <c r="B10" s="83" t="s">
        <v>236</v>
      </c>
      <c r="C10" s="83" t="s">
        <v>51</v>
      </c>
      <c r="D10" s="91">
        <v>3130.2</v>
      </c>
      <c r="E10" s="91">
        <v>3478</v>
      </c>
      <c r="F10" s="91">
        <v>6956.1</v>
      </c>
      <c r="G10" s="84" t="s">
        <v>13</v>
      </c>
      <c r="J10" s="8"/>
      <c r="K10" s="8"/>
      <c r="L10" s="8"/>
      <c r="M10" s="8"/>
    </row>
    <row r="11" spans="1:14" ht="15" thickBot="1" x14ac:dyDescent="0.35">
      <c r="A11" s="82" t="s">
        <v>212</v>
      </c>
      <c r="B11" s="83" t="s">
        <v>213</v>
      </c>
      <c r="C11" s="83" t="s">
        <v>33</v>
      </c>
      <c r="D11" s="91">
        <v>3128.4</v>
      </c>
      <c r="E11" s="91">
        <v>3476</v>
      </c>
      <c r="F11" s="91">
        <v>6952.1</v>
      </c>
      <c r="G11" s="84" t="s">
        <v>29</v>
      </c>
      <c r="J11" s="10" t="s">
        <v>7</v>
      </c>
      <c r="K11" s="8"/>
      <c r="L11" s="8"/>
      <c r="M11" s="8"/>
      <c r="N11" s="28" t="s">
        <v>956</v>
      </c>
    </row>
    <row r="12" spans="1:14" ht="15" thickBot="1" x14ac:dyDescent="0.35">
      <c r="A12" s="82" t="s">
        <v>292</v>
      </c>
      <c r="B12" s="83" t="s">
        <v>293</v>
      </c>
      <c r="C12" s="83" t="s">
        <v>17</v>
      </c>
      <c r="D12" s="91">
        <v>3120.3</v>
      </c>
      <c r="E12" s="91">
        <v>3467</v>
      </c>
      <c r="F12" s="91">
        <v>6934.1</v>
      </c>
      <c r="G12" s="84" t="s">
        <v>29</v>
      </c>
      <c r="J12" s="8" t="s">
        <v>30</v>
      </c>
      <c r="K12" s="8"/>
      <c r="L12" s="11" t="s">
        <v>31</v>
      </c>
      <c r="M12" s="12"/>
    </row>
    <row r="13" spans="1:14" x14ac:dyDescent="0.3">
      <c r="A13" s="82" t="s">
        <v>99</v>
      </c>
      <c r="B13" s="83" t="s">
        <v>100</v>
      </c>
      <c r="C13" s="83" t="s">
        <v>101</v>
      </c>
      <c r="D13" s="91">
        <v>3105.9</v>
      </c>
      <c r="E13" s="91">
        <v>3451</v>
      </c>
      <c r="F13" s="91">
        <v>6902.1</v>
      </c>
      <c r="G13" s="84" t="s">
        <v>13</v>
      </c>
      <c r="J13" s="8" t="s">
        <v>34</v>
      </c>
      <c r="K13" s="8"/>
      <c r="L13" s="13" t="s">
        <v>35</v>
      </c>
      <c r="M13" s="14">
        <v>5000</v>
      </c>
    </row>
    <row r="14" spans="1:14" x14ac:dyDescent="0.3">
      <c r="A14" s="82" t="s">
        <v>187</v>
      </c>
      <c r="B14" s="83" t="s">
        <v>188</v>
      </c>
      <c r="C14" s="83" t="s">
        <v>37</v>
      </c>
      <c r="D14" s="91">
        <v>3081.6</v>
      </c>
      <c r="E14" s="91">
        <v>3424</v>
      </c>
      <c r="F14" s="91">
        <v>6848.1</v>
      </c>
      <c r="G14" s="84" t="s">
        <v>29</v>
      </c>
      <c r="J14" s="8" t="s">
        <v>38</v>
      </c>
      <c r="K14" s="8"/>
      <c r="L14" s="8"/>
      <c r="M14" s="8"/>
    </row>
    <row r="15" spans="1:14" x14ac:dyDescent="0.3">
      <c r="A15" s="82" t="s">
        <v>96</v>
      </c>
      <c r="B15" s="83" t="s">
        <v>97</v>
      </c>
      <c r="C15" s="83" t="s">
        <v>98</v>
      </c>
      <c r="D15" s="91">
        <v>3078.9</v>
      </c>
      <c r="E15" s="91">
        <v>3421</v>
      </c>
      <c r="F15" s="91">
        <v>6842.1</v>
      </c>
      <c r="G15" s="84" t="s">
        <v>29</v>
      </c>
      <c r="J15" s="8" t="s">
        <v>41</v>
      </c>
      <c r="K15" s="8"/>
      <c r="L15" s="8"/>
      <c r="M15" s="8"/>
    </row>
    <row r="16" spans="1:14" x14ac:dyDescent="0.3">
      <c r="A16" s="82" t="s">
        <v>90</v>
      </c>
      <c r="B16" s="83" t="s">
        <v>91</v>
      </c>
      <c r="C16" s="83" t="s">
        <v>51</v>
      </c>
      <c r="D16" s="91">
        <v>3066.3</v>
      </c>
      <c r="E16" s="91">
        <v>3407</v>
      </c>
      <c r="F16" s="91">
        <v>6814.1</v>
      </c>
      <c r="G16" s="84" t="s">
        <v>13</v>
      </c>
      <c r="J16" s="8"/>
      <c r="K16" s="8"/>
      <c r="L16" s="8"/>
      <c r="M16" s="8"/>
    </row>
    <row r="17" spans="1:14" x14ac:dyDescent="0.3">
      <c r="A17" s="82" t="s">
        <v>118</v>
      </c>
      <c r="B17" s="83" t="s">
        <v>119</v>
      </c>
      <c r="C17" s="83" t="s">
        <v>98</v>
      </c>
      <c r="D17" s="91">
        <v>3061.8</v>
      </c>
      <c r="E17" s="91">
        <v>3402</v>
      </c>
      <c r="F17" s="91">
        <v>6804.1</v>
      </c>
      <c r="G17" s="84" t="s">
        <v>22</v>
      </c>
      <c r="J17" s="10" t="s">
        <v>8</v>
      </c>
      <c r="K17" s="8"/>
      <c r="L17" s="8"/>
      <c r="M17" s="8"/>
      <c r="N17" s="28" t="s">
        <v>956</v>
      </c>
    </row>
    <row r="18" spans="1:14" x14ac:dyDescent="0.3">
      <c r="A18" s="82" t="s">
        <v>210</v>
      </c>
      <c r="B18" s="83" t="s">
        <v>206</v>
      </c>
      <c r="C18" s="83" t="s">
        <v>83</v>
      </c>
      <c r="D18" s="91">
        <v>3061.8</v>
      </c>
      <c r="E18" s="91">
        <v>3402</v>
      </c>
      <c r="F18" s="91">
        <v>6804.1</v>
      </c>
      <c r="G18" s="84" t="s">
        <v>22</v>
      </c>
      <c r="J18" s="8" t="s">
        <v>48</v>
      </c>
      <c r="K18" s="8"/>
      <c r="L18" s="8"/>
      <c r="M18" s="8"/>
    </row>
    <row r="19" spans="1:14" x14ac:dyDescent="0.3">
      <c r="A19" s="82" t="s">
        <v>372</v>
      </c>
      <c r="B19" s="83" t="s">
        <v>373</v>
      </c>
      <c r="C19" s="83" t="s">
        <v>374</v>
      </c>
      <c r="D19" s="91">
        <v>3044.7</v>
      </c>
      <c r="E19" s="91">
        <v>3383</v>
      </c>
      <c r="F19" s="91">
        <v>6766.1</v>
      </c>
      <c r="G19" s="84" t="s">
        <v>22</v>
      </c>
      <c r="J19" s="8" t="s">
        <v>52</v>
      </c>
      <c r="K19" s="8"/>
      <c r="L19" s="8"/>
      <c r="M19" s="8"/>
    </row>
    <row r="20" spans="1:14" x14ac:dyDescent="0.3">
      <c r="A20" s="82" t="s">
        <v>209</v>
      </c>
      <c r="B20" s="83" t="s">
        <v>206</v>
      </c>
      <c r="C20" s="83" t="s">
        <v>155</v>
      </c>
      <c r="D20" s="91">
        <v>3039.3</v>
      </c>
      <c r="E20" s="91">
        <v>3377</v>
      </c>
      <c r="F20" s="91">
        <v>6754.1</v>
      </c>
      <c r="G20" s="84" t="s">
        <v>13</v>
      </c>
      <c r="J20" s="8"/>
      <c r="K20" s="8"/>
      <c r="L20" s="8"/>
      <c r="M20" s="8"/>
    </row>
    <row r="21" spans="1:14" x14ac:dyDescent="0.3">
      <c r="A21" s="82" t="s">
        <v>375</v>
      </c>
      <c r="B21" s="83" t="s">
        <v>376</v>
      </c>
      <c r="C21" s="83" t="s">
        <v>155</v>
      </c>
      <c r="D21" s="91">
        <v>3022.2</v>
      </c>
      <c r="E21" s="91">
        <v>3358</v>
      </c>
      <c r="F21" s="91">
        <v>6716.1</v>
      </c>
      <c r="G21" s="84" t="s">
        <v>18</v>
      </c>
      <c r="J21" s="10" t="s">
        <v>9</v>
      </c>
      <c r="K21" s="8"/>
      <c r="L21" s="8"/>
      <c r="M21" s="8"/>
      <c r="N21" s="28" t="s">
        <v>956</v>
      </c>
    </row>
    <row r="22" spans="1:14" x14ac:dyDescent="0.3">
      <c r="A22" s="82" t="s">
        <v>306</v>
      </c>
      <c r="B22" s="83" t="s">
        <v>307</v>
      </c>
      <c r="C22" s="83" t="s">
        <v>51</v>
      </c>
      <c r="D22" s="91">
        <v>3018.6</v>
      </c>
      <c r="E22" s="91">
        <v>3354</v>
      </c>
      <c r="F22" s="91">
        <v>6708.1</v>
      </c>
      <c r="G22" s="84" t="s">
        <v>13</v>
      </c>
      <c r="J22" s="8" t="s">
        <v>60</v>
      </c>
      <c r="L22" s="8"/>
      <c r="M22" s="8"/>
    </row>
    <row r="23" spans="1:14" x14ac:dyDescent="0.3">
      <c r="A23" s="82" t="s">
        <v>338</v>
      </c>
      <c r="B23" s="83" t="s">
        <v>339</v>
      </c>
      <c r="C23" s="83" t="s">
        <v>47</v>
      </c>
      <c r="D23" s="91">
        <v>3003.3</v>
      </c>
      <c r="E23" s="91">
        <v>3337</v>
      </c>
      <c r="F23" s="91">
        <v>6674.1</v>
      </c>
      <c r="G23" s="84" t="s">
        <v>13</v>
      </c>
      <c r="J23" s="15" t="s">
        <v>9</v>
      </c>
      <c r="K23" s="15" t="s">
        <v>62</v>
      </c>
      <c r="L23" s="8"/>
      <c r="M23" s="8"/>
    </row>
    <row r="24" spans="1:14" x14ac:dyDescent="0.3">
      <c r="A24" s="82" t="s">
        <v>491</v>
      </c>
      <c r="B24" s="83" t="s">
        <v>489</v>
      </c>
      <c r="C24" s="83" t="s">
        <v>47</v>
      </c>
      <c r="D24" s="91">
        <v>2999.7</v>
      </c>
      <c r="E24" s="91">
        <v>3333</v>
      </c>
      <c r="F24" s="91">
        <v>6666.1</v>
      </c>
      <c r="G24" s="84" t="s">
        <v>29</v>
      </c>
      <c r="J24" s="16" t="s">
        <v>13</v>
      </c>
      <c r="K24" s="17"/>
      <c r="L24" s="8"/>
      <c r="M24" s="8"/>
    </row>
    <row r="25" spans="1:14" x14ac:dyDescent="0.3">
      <c r="A25" s="82" t="s">
        <v>378</v>
      </c>
      <c r="B25" s="83" t="s">
        <v>379</v>
      </c>
      <c r="C25" s="83" t="s">
        <v>37</v>
      </c>
      <c r="D25" s="91">
        <v>2994.3</v>
      </c>
      <c r="E25" s="91">
        <v>3327</v>
      </c>
      <c r="F25" s="91">
        <v>6654.1</v>
      </c>
      <c r="G25" s="84" t="s">
        <v>22</v>
      </c>
      <c r="J25" s="16" t="s">
        <v>18</v>
      </c>
      <c r="K25" s="18"/>
      <c r="L25" s="8"/>
      <c r="M25" s="8"/>
    </row>
    <row r="26" spans="1:14" x14ac:dyDescent="0.3">
      <c r="A26" s="82" t="s">
        <v>211</v>
      </c>
      <c r="B26" s="83" t="s">
        <v>206</v>
      </c>
      <c r="C26" s="83" t="s">
        <v>17</v>
      </c>
      <c r="D26" s="91">
        <v>2992.5</v>
      </c>
      <c r="E26" s="91">
        <v>3325</v>
      </c>
      <c r="F26" s="91">
        <v>6650.1</v>
      </c>
      <c r="G26" s="84" t="s">
        <v>22</v>
      </c>
      <c r="J26" s="16" t="s">
        <v>22</v>
      </c>
      <c r="K26" s="19"/>
      <c r="L26" s="8"/>
      <c r="M26" s="8"/>
    </row>
    <row r="27" spans="1:14" x14ac:dyDescent="0.3">
      <c r="A27" s="82" t="s">
        <v>439</v>
      </c>
      <c r="B27" s="83" t="s">
        <v>440</v>
      </c>
      <c r="C27" s="83" t="s">
        <v>17</v>
      </c>
      <c r="D27" s="91">
        <v>2991.6</v>
      </c>
      <c r="E27" s="91">
        <v>3324</v>
      </c>
      <c r="F27" s="91">
        <v>6648.1</v>
      </c>
      <c r="G27" s="84" t="s">
        <v>18</v>
      </c>
      <c r="J27" s="16" t="s">
        <v>29</v>
      </c>
      <c r="K27" s="20"/>
      <c r="L27" s="8"/>
      <c r="M27" s="8"/>
    </row>
    <row r="28" spans="1:14" x14ac:dyDescent="0.3">
      <c r="A28" s="82" t="s">
        <v>71</v>
      </c>
      <c r="B28" s="83" t="s">
        <v>69</v>
      </c>
      <c r="C28" s="83" t="s">
        <v>37</v>
      </c>
      <c r="D28" s="91">
        <v>2983.5</v>
      </c>
      <c r="E28" s="91">
        <v>3315</v>
      </c>
      <c r="F28" s="91">
        <v>6630.1</v>
      </c>
      <c r="G28" s="84" t="s">
        <v>22</v>
      </c>
    </row>
    <row r="29" spans="1:14" x14ac:dyDescent="0.3">
      <c r="A29" s="82" t="s">
        <v>252</v>
      </c>
      <c r="B29" s="83" t="s">
        <v>253</v>
      </c>
      <c r="C29" s="83" t="s">
        <v>83</v>
      </c>
      <c r="D29" s="91">
        <v>2979</v>
      </c>
      <c r="E29" s="91">
        <v>3310</v>
      </c>
      <c r="F29" s="91">
        <v>6620.1</v>
      </c>
      <c r="G29" s="84" t="s">
        <v>13</v>
      </c>
    </row>
    <row r="30" spans="1:14" x14ac:dyDescent="0.3">
      <c r="A30" s="82" t="s">
        <v>180</v>
      </c>
      <c r="B30" s="83" t="s">
        <v>179</v>
      </c>
      <c r="C30" s="83" t="s">
        <v>17</v>
      </c>
      <c r="D30" s="91">
        <v>2975.4</v>
      </c>
      <c r="E30" s="91">
        <v>3306</v>
      </c>
      <c r="F30" s="91">
        <v>6612.1</v>
      </c>
      <c r="G30" s="84" t="s">
        <v>13</v>
      </c>
    </row>
    <row r="31" spans="1:14" x14ac:dyDescent="0.3">
      <c r="A31" s="82" t="s">
        <v>221</v>
      </c>
      <c r="B31" s="83" t="s">
        <v>220</v>
      </c>
      <c r="C31" s="83" t="s">
        <v>17</v>
      </c>
      <c r="D31" s="91">
        <v>2948.4</v>
      </c>
      <c r="E31" s="91">
        <v>3276</v>
      </c>
      <c r="F31" s="91">
        <v>6552.1</v>
      </c>
      <c r="G31" s="84" t="s">
        <v>22</v>
      </c>
    </row>
    <row r="32" spans="1:14" x14ac:dyDescent="0.3">
      <c r="A32" s="82" t="s">
        <v>165</v>
      </c>
      <c r="B32" s="83" t="s">
        <v>166</v>
      </c>
      <c r="C32" s="83" t="s">
        <v>51</v>
      </c>
      <c r="D32" s="91">
        <v>2946.6</v>
      </c>
      <c r="E32" s="91">
        <v>3274</v>
      </c>
      <c r="F32" s="91">
        <v>6548.1</v>
      </c>
      <c r="G32" s="84" t="s">
        <v>18</v>
      </c>
    </row>
    <row r="33" spans="1:7" x14ac:dyDescent="0.3">
      <c r="A33" s="82" t="s">
        <v>488</v>
      </c>
      <c r="B33" s="83" t="s">
        <v>489</v>
      </c>
      <c r="C33" s="83" t="s">
        <v>155</v>
      </c>
      <c r="D33" s="91">
        <v>2943.9</v>
      </c>
      <c r="E33" s="91">
        <v>3271</v>
      </c>
      <c r="F33" s="91">
        <v>6542.1</v>
      </c>
      <c r="G33" s="84" t="s">
        <v>18</v>
      </c>
    </row>
    <row r="34" spans="1:7" x14ac:dyDescent="0.3">
      <c r="A34" s="82" t="s">
        <v>68</v>
      </c>
      <c r="B34" s="83" t="s">
        <v>69</v>
      </c>
      <c r="C34" s="83" t="s">
        <v>17</v>
      </c>
      <c r="D34" s="91">
        <v>2940.3</v>
      </c>
      <c r="E34" s="91">
        <v>3267</v>
      </c>
      <c r="F34" s="91">
        <v>6534.1</v>
      </c>
      <c r="G34" s="84" t="s">
        <v>18</v>
      </c>
    </row>
    <row r="35" spans="1:7" x14ac:dyDescent="0.3">
      <c r="A35" s="82" t="s">
        <v>415</v>
      </c>
      <c r="B35" s="83" t="s">
        <v>416</v>
      </c>
      <c r="C35" s="83" t="s">
        <v>51</v>
      </c>
      <c r="D35" s="91">
        <v>2936.7</v>
      </c>
      <c r="E35" s="91">
        <v>3263</v>
      </c>
      <c r="F35" s="91">
        <v>6526.1</v>
      </c>
      <c r="G35" s="84" t="s">
        <v>18</v>
      </c>
    </row>
    <row r="36" spans="1:7" x14ac:dyDescent="0.3">
      <c r="A36" s="82" t="s">
        <v>353</v>
      </c>
      <c r="B36" s="83" t="s">
        <v>354</v>
      </c>
      <c r="C36" s="83" t="s">
        <v>47</v>
      </c>
      <c r="D36" s="91">
        <v>2932.2</v>
      </c>
      <c r="E36" s="91">
        <v>3258</v>
      </c>
      <c r="F36" s="91">
        <v>6516.1</v>
      </c>
      <c r="G36" s="84" t="s">
        <v>18</v>
      </c>
    </row>
    <row r="37" spans="1:7" x14ac:dyDescent="0.3">
      <c r="A37" s="82" t="s">
        <v>227</v>
      </c>
      <c r="B37" s="83" t="s">
        <v>228</v>
      </c>
      <c r="C37" s="83" t="s">
        <v>155</v>
      </c>
      <c r="D37" s="91">
        <v>2918.7</v>
      </c>
      <c r="E37" s="91">
        <v>3243</v>
      </c>
      <c r="F37" s="91">
        <v>6486.1</v>
      </c>
      <c r="G37" s="84" t="s">
        <v>18</v>
      </c>
    </row>
    <row r="38" spans="1:7" x14ac:dyDescent="0.3">
      <c r="A38" s="82" t="s">
        <v>150</v>
      </c>
      <c r="B38" s="83" t="s">
        <v>149</v>
      </c>
      <c r="C38" s="83" t="s">
        <v>17</v>
      </c>
      <c r="D38" s="91">
        <v>2917.8</v>
      </c>
      <c r="E38" s="91">
        <v>3242</v>
      </c>
      <c r="F38" s="91">
        <v>6484.1</v>
      </c>
      <c r="G38" s="84" t="s">
        <v>22</v>
      </c>
    </row>
    <row r="39" spans="1:7" x14ac:dyDescent="0.3">
      <c r="A39" s="82" t="s">
        <v>403</v>
      </c>
      <c r="B39" s="83" t="s">
        <v>404</v>
      </c>
      <c r="C39" s="83" t="s">
        <v>47</v>
      </c>
      <c r="D39" s="91">
        <v>2917.8</v>
      </c>
      <c r="E39" s="91">
        <v>3242</v>
      </c>
      <c r="F39" s="91">
        <v>6484.1</v>
      </c>
      <c r="G39" s="84" t="s">
        <v>29</v>
      </c>
    </row>
    <row r="40" spans="1:7" x14ac:dyDescent="0.3">
      <c r="A40" s="82" t="s">
        <v>367</v>
      </c>
      <c r="B40" s="83" t="s">
        <v>368</v>
      </c>
      <c r="C40" s="83" t="s">
        <v>51</v>
      </c>
      <c r="D40" s="91">
        <v>2914.2</v>
      </c>
      <c r="E40" s="91">
        <v>3238</v>
      </c>
      <c r="F40" s="91">
        <v>6476.1</v>
      </c>
      <c r="G40" s="84" t="s">
        <v>13</v>
      </c>
    </row>
    <row r="41" spans="1:7" x14ac:dyDescent="0.3">
      <c r="A41" s="82" t="s">
        <v>457</v>
      </c>
      <c r="B41" s="83" t="s">
        <v>458</v>
      </c>
      <c r="C41" s="83" t="s">
        <v>47</v>
      </c>
      <c r="D41" s="91">
        <v>2911.5</v>
      </c>
      <c r="E41" s="91">
        <v>3235</v>
      </c>
      <c r="F41" s="91">
        <v>6470.1</v>
      </c>
      <c r="G41" s="84" t="s">
        <v>22</v>
      </c>
    </row>
    <row r="42" spans="1:7" x14ac:dyDescent="0.3">
      <c r="A42" s="82" t="s">
        <v>473</v>
      </c>
      <c r="B42" s="83" t="s">
        <v>474</v>
      </c>
      <c r="C42" s="83" t="s">
        <v>17</v>
      </c>
      <c r="D42" s="91">
        <v>2900.7</v>
      </c>
      <c r="E42" s="91">
        <v>3223</v>
      </c>
      <c r="F42" s="91">
        <v>6446.1</v>
      </c>
      <c r="G42" s="84" t="s">
        <v>13</v>
      </c>
    </row>
    <row r="43" spans="1:7" x14ac:dyDescent="0.3">
      <c r="A43" s="82" t="s">
        <v>107</v>
      </c>
      <c r="B43" s="83" t="s">
        <v>108</v>
      </c>
      <c r="C43" s="83" t="s">
        <v>109</v>
      </c>
      <c r="D43" s="91">
        <v>2898</v>
      </c>
      <c r="E43" s="91">
        <v>3220</v>
      </c>
      <c r="F43" s="91">
        <v>6440.1</v>
      </c>
      <c r="G43" s="84" t="s">
        <v>22</v>
      </c>
    </row>
    <row r="44" spans="1:7" x14ac:dyDescent="0.3">
      <c r="A44" s="82" t="s">
        <v>425</v>
      </c>
      <c r="B44" s="83" t="s">
        <v>426</v>
      </c>
      <c r="C44" s="83" t="s">
        <v>17</v>
      </c>
      <c r="D44" s="91">
        <v>2897.1</v>
      </c>
      <c r="E44" s="91">
        <v>3219</v>
      </c>
      <c r="F44" s="91">
        <v>6438.1</v>
      </c>
      <c r="G44" s="84" t="s">
        <v>18</v>
      </c>
    </row>
    <row r="45" spans="1:7" x14ac:dyDescent="0.3">
      <c r="A45" s="82" t="s">
        <v>319</v>
      </c>
      <c r="B45" s="83" t="s">
        <v>315</v>
      </c>
      <c r="C45" s="83" t="s">
        <v>98</v>
      </c>
      <c r="D45" s="91">
        <v>2885.4</v>
      </c>
      <c r="E45" s="91">
        <v>3206</v>
      </c>
      <c r="F45" s="91">
        <v>6412.1</v>
      </c>
      <c r="G45" s="84" t="s">
        <v>22</v>
      </c>
    </row>
    <row r="46" spans="1:7" x14ac:dyDescent="0.3">
      <c r="A46" s="82" t="s">
        <v>127</v>
      </c>
      <c r="B46" s="83" t="s">
        <v>128</v>
      </c>
      <c r="C46" s="83" t="s">
        <v>51</v>
      </c>
      <c r="D46" s="91">
        <v>2849.4</v>
      </c>
      <c r="E46" s="91">
        <v>3166</v>
      </c>
      <c r="F46" s="91">
        <v>6332.1</v>
      </c>
      <c r="G46" s="84" t="s">
        <v>22</v>
      </c>
    </row>
    <row r="47" spans="1:7" x14ac:dyDescent="0.3">
      <c r="A47" s="82" t="s">
        <v>55</v>
      </c>
      <c r="B47" s="83" t="s">
        <v>56</v>
      </c>
      <c r="C47" s="83" t="s">
        <v>57</v>
      </c>
      <c r="D47" s="91">
        <v>2844.9</v>
      </c>
      <c r="E47" s="91">
        <v>3161</v>
      </c>
      <c r="F47" s="91">
        <v>6322.1</v>
      </c>
      <c r="G47" s="84" t="s">
        <v>29</v>
      </c>
    </row>
    <row r="48" spans="1:7" x14ac:dyDescent="0.3">
      <c r="A48" s="82" t="s">
        <v>10</v>
      </c>
      <c r="B48" s="83" t="s">
        <v>11</v>
      </c>
      <c r="C48" s="83" t="s">
        <v>12</v>
      </c>
      <c r="D48" s="91">
        <v>2841.3</v>
      </c>
      <c r="E48" s="91">
        <v>3157</v>
      </c>
      <c r="F48" s="91">
        <v>6314.1</v>
      </c>
      <c r="G48" s="84" t="s">
        <v>13</v>
      </c>
    </row>
    <row r="49" spans="1:7" x14ac:dyDescent="0.3">
      <c r="A49" s="82" t="s">
        <v>522</v>
      </c>
      <c r="B49" s="83" t="s">
        <v>521</v>
      </c>
      <c r="C49" s="83" t="s">
        <v>47</v>
      </c>
      <c r="D49" s="91">
        <v>2827.8</v>
      </c>
      <c r="E49" s="91">
        <v>3142</v>
      </c>
      <c r="F49" s="91">
        <v>6284.1</v>
      </c>
      <c r="G49" s="84" t="s">
        <v>18</v>
      </c>
    </row>
    <row r="50" spans="1:7" x14ac:dyDescent="0.3">
      <c r="A50" s="82" t="s">
        <v>331</v>
      </c>
      <c r="B50" s="83" t="s">
        <v>330</v>
      </c>
      <c r="C50" s="83" t="s">
        <v>51</v>
      </c>
      <c r="D50" s="91">
        <v>2823.3</v>
      </c>
      <c r="E50" s="91">
        <v>3137</v>
      </c>
      <c r="F50" s="91">
        <v>6274.1</v>
      </c>
      <c r="G50" s="84" t="s">
        <v>29</v>
      </c>
    </row>
    <row r="51" spans="1:7" x14ac:dyDescent="0.3">
      <c r="A51" s="82" t="s">
        <v>502</v>
      </c>
      <c r="B51" s="83" t="s">
        <v>501</v>
      </c>
      <c r="C51" s="83" t="s">
        <v>51</v>
      </c>
      <c r="D51" s="91">
        <v>2818.8</v>
      </c>
      <c r="E51" s="91">
        <v>3132</v>
      </c>
      <c r="F51" s="91">
        <v>6264.1</v>
      </c>
      <c r="G51" s="84" t="s">
        <v>18</v>
      </c>
    </row>
    <row r="52" spans="1:7" x14ac:dyDescent="0.3">
      <c r="A52" s="82" t="s">
        <v>399</v>
      </c>
      <c r="B52" s="83" t="s">
        <v>400</v>
      </c>
      <c r="C52" s="83" t="s">
        <v>155</v>
      </c>
      <c r="D52" s="91">
        <v>2805.3</v>
      </c>
      <c r="E52" s="91">
        <v>3117</v>
      </c>
      <c r="F52" s="91">
        <v>6234.1</v>
      </c>
      <c r="G52" s="84" t="s">
        <v>29</v>
      </c>
    </row>
    <row r="53" spans="1:7" x14ac:dyDescent="0.3">
      <c r="A53" s="82" t="s">
        <v>248</v>
      </c>
      <c r="B53" s="83" t="s">
        <v>249</v>
      </c>
      <c r="C53" s="83" t="s">
        <v>51</v>
      </c>
      <c r="D53" s="91">
        <v>2802.6</v>
      </c>
      <c r="E53" s="91">
        <v>3114</v>
      </c>
      <c r="F53" s="91">
        <v>6228.1</v>
      </c>
      <c r="G53" s="84" t="s">
        <v>29</v>
      </c>
    </row>
    <row r="54" spans="1:7" x14ac:dyDescent="0.3">
      <c r="A54" s="82" t="s">
        <v>317</v>
      </c>
      <c r="B54" s="83" t="s">
        <v>318</v>
      </c>
      <c r="C54" s="83" t="s">
        <v>17</v>
      </c>
      <c r="D54" s="91">
        <v>2796.3</v>
      </c>
      <c r="E54" s="91">
        <v>3107</v>
      </c>
      <c r="F54" s="91">
        <v>6214.1</v>
      </c>
      <c r="G54" s="84" t="s">
        <v>18</v>
      </c>
    </row>
    <row r="55" spans="1:7" x14ac:dyDescent="0.3">
      <c r="A55" s="82" t="s">
        <v>15</v>
      </c>
      <c r="B55" s="83" t="s">
        <v>16</v>
      </c>
      <c r="C55" s="83" t="s">
        <v>17</v>
      </c>
      <c r="D55" s="91">
        <v>2784.6</v>
      </c>
      <c r="E55" s="91">
        <v>3094</v>
      </c>
      <c r="F55" s="91">
        <v>6188.1</v>
      </c>
      <c r="G55" s="84" t="s">
        <v>18</v>
      </c>
    </row>
    <row r="56" spans="1:7" x14ac:dyDescent="0.3">
      <c r="A56" s="82" t="s">
        <v>125</v>
      </c>
      <c r="B56" s="83" t="s">
        <v>126</v>
      </c>
      <c r="C56" s="83" t="s">
        <v>17</v>
      </c>
      <c r="D56" s="91">
        <v>2782.8</v>
      </c>
      <c r="E56" s="91">
        <v>3092</v>
      </c>
      <c r="F56" s="91">
        <v>6184.1</v>
      </c>
      <c r="G56" s="84" t="s">
        <v>22</v>
      </c>
    </row>
    <row r="57" spans="1:7" x14ac:dyDescent="0.3">
      <c r="A57" s="82" t="s">
        <v>388</v>
      </c>
      <c r="B57" s="83" t="s">
        <v>389</v>
      </c>
      <c r="C57" s="83" t="s">
        <v>17</v>
      </c>
      <c r="D57" s="91">
        <v>2773.8</v>
      </c>
      <c r="E57" s="91">
        <v>3082</v>
      </c>
      <c r="F57" s="91">
        <v>6164.1</v>
      </c>
      <c r="G57" s="84" t="s">
        <v>18</v>
      </c>
    </row>
    <row r="58" spans="1:7" x14ac:dyDescent="0.3">
      <c r="A58" s="82" t="s">
        <v>299</v>
      </c>
      <c r="B58" s="83" t="s">
        <v>300</v>
      </c>
      <c r="C58" s="83" t="s">
        <v>51</v>
      </c>
      <c r="D58" s="91">
        <v>2769.3</v>
      </c>
      <c r="E58" s="91">
        <v>3077</v>
      </c>
      <c r="F58" s="91">
        <v>6154.1</v>
      </c>
      <c r="G58" s="84" t="s">
        <v>29</v>
      </c>
    </row>
    <row r="59" spans="1:7" x14ac:dyDescent="0.3">
      <c r="A59" s="82" t="s">
        <v>84</v>
      </c>
      <c r="B59" s="83" t="s">
        <v>85</v>
      </c>
      <c r="C59" s="83" t="s">
        <v>37</v>
      </c>
      <c r="D59" s="91">
        <v>2763</v>
      </c>
      <c r="E59" s="91">
        <v>3070</v>
      </c>
      <c r="F59" s="91">
        <v>6140.1</v>
      </c>
      <c r="G59" s="84" t="s">
        <v>13</v>
      </c>
    </row>
    <row r="60" spans="1:7" x14ac:dyDescent="0.3">
      <c r="A60" s="82" t="s">
        <v>377</v>
      </c>
      <c r="B60" s="83" t="s">
        <v>376</v>
      </c>
      <c r="C60" s="83" t="s">
        <v>51</v>
      </c>
      <c r="D60" s="91">
        <v>2753.1</v>
      </c>
      <c r="E60" s="91">
        <v>3059</v>
      </c>
      <c r="F60" s="91">
        <v>6118.1</v>
      </c>
      <c r="G60" s="84" t="s">
        <v>18</v>
      </c>
    </row>
    <row r="61" spans="1:7" x14ac:dyDescent="0.3">
      <c r="A61" s="82" t="s">
        <v>161</v>
      </c>
      <c r="B61" s="83" t="s">
        <v>162</v>
      </c>
      <c r="C61" s="83" t="s">
        <v>51</v>
      </c>
      <c r="D61" s="91">
        <v>2739.6</v>
      </c>
      <c r="E61" s="91">
        <v>3044</v>
      </c>
      <c r="F61" s="91">
        <v>6088.1</v>
      </c>
      <c r="G61" s="84" t="s">
        <v>22</v>
      </c>
    </row>
    <row r="62" spans="1:7" x14ac:dyDescent="0.3">
      <c r="A62" s="82" t="s">
        <v>346</v>
      </c>
      <c r="B62" s="83" t="s">
        <v>343</v>
      </c>
      <c r="C62" s="83" t="s">
        <v>109</v>
      </c>
      <c r="D62" s="91">
        <v>2735.1</v>
      </c>
      <c r="E62" s="91">
        <v>3039</v>
      </c>
      <c r="F62" s="91">
        <v>6078.1</v>
      </c>
      <c r="G62" s="84" t="s">
        <v>29</v>
      </c>
    </row>
    <row r="63" spans="1:7" x14ac:dyDescent="0.3">
      <c r="A63" s="82" t="s">
        <v>171</v>
      </c>
      <c r="B63" s="83" t="s">
        <v>170</v>
      </c>
      <c r="C63" s="83" t="s">
        <v>83</v>
      </c>
      <c r="D63" s="91">
        <v>2721.6</v>
      </c>
      <c r="E63" s="91">
        <v>3024</v>
      </c>
      <c r="F63" s="91">
        <v>6048.1</v>
      </c>
      <c r="G63" s="84" t="s">
        <v>29</v>
      </c>
    </row>
    <row r="64" spans="1:7" x14ac:dyDescent="0.3">
      <c r="A64" s="82" t="s">
        <v>116</v>
      </c>
      <c r="B64" s="83" t="s">
        <v>115</v>
      </c>
      <c r="C64" s="83" t="s">
        <v>17</v>
      </c>
      <c r="D64" s="91">
        <v>2713.5</v>
      </c>
      <c r="E64" s="91">
        <v>3015</v>
      </c>
      <c r="F64" s="91">
        <v>6030.1</v>
      </c>
      <c r="G64" s="84" t="s">
        <v>18</v>
      </c>
    </row>
    <row r="65" spans="1:7" x14ac:dyDescent="0.3">
      <c r="A65" s="82" t="s">
        <v>148</v>
      </c>
      <c r="B65" s="83" t="s">
        <v>149</v>
      </c>
      <c r="C65" s="83" t="s">
        <v>17</v>
      </c>
      <c r="D65" s="91">
        <v>2706.3</v>
      </c>
      <c r="E65" s="91">
        <v>3007</v>
      </c>
      <c r="F65" s="91">
        <v>6014.1</v>
      </c>
      <c r="G65" s="84" t="s">
        <v>22</v>
      </c>
    </row>
    <row r="66" spans="1:7" x14ac:dyDescent="0.3">
      <c r="A66" s="82" t="s">
        <v>256</v>
      </c>
      <c r="B66" s="83" t="s">
        <v>257</v>
      </c>
      <c r="C66" s="83" t="s">
        <v>25</v>
      </c>
      <c r="D66" s="91">
        <v>2703.6</v>
      </c>
      <c r="E66" s="91">
        <v>3004</v>
      </c>
      <c r="F66" s="91">
        <v>6008.1</v>
      </c>
      <c r="G66" s="84" t="s">
        <v>18</v>
      </c>
    </row>
    <row r="67" spans="1:7" x14ac:dyDescent="0.3">
      <c r="A67" s="82" t="s">
        <v>266</v>
      </c>
      <c r="B67" s="83" t="s">
        <v>267</v>
      </c>
      <c r="C67" s="83" t="s">
        <v>51</v>
      </c>
      <c r="D67" s="91">
        <v>2696.4</v>
      </c>
      <c r="E67" s="91">
        <v>2996</v>
      </c>
      <c r="F67" s="91">
        <v>5992.1</v>
      </c>
      <c r="G67" s="84" t="s">
        <v>13</v>
      </c>
    </row>
    <row r="68" spans="1:7" x14ac:dyDescent="0.3">
      <c r="A68" s="82" t="s">
        <v>362</v>
      </c>
      <c r="B68" s="83" t="s">
        <v>363</v>
      </c>
      <c r="C68" s="83" t="s">
        <v>37</v>
      </c>
      <c r="D68" s="91">
        <v>2670.3</v>
      </c>
      <c r="E68" s="91">
        <v>2967</v>
      </c>
      <c r="F68" s="91">
        <v>5934.1</v>
      </c>
      <c r="G68" s="84" t="s">
        <v>13</v>
      </c>
    </row>
    <row r="69" spans="1:7" x14ac:dyDescent="0.3">
      <c r="A69" s="82" t="s">
        <v>217</v>
      </c>
      <c r="B69" s="83" t="s">
        <v>218</v>
      </c>
      <c r="C69" s="83" t="s">
        <v>57</v>
      </c>
      <c r="D69" s="91">
        <v>2652.3</v>
      </c>
      <c r="E69" s="91">
        <v>2947</v>
      </c>
      <c r="F69" s="91">
        <v>5894.1</v>
      </c>
      <c r="G69" s="84" t="s">
        <v>22</v>
      </c>
    </row>
    <row r="70" spans="1:7" x14ac:dyDescent="0.3">
      <c r="A70" s="82" t="s">
        <v>246</v>
      </c>
      <c r="B70" s="83" t="s">
        <v>247</v>
      </c>
      <c r="C70" s="83" t="s">
        <v>37</v>
      </c>
      <c r="D70" s="91">
        <v>2651.4</v>
      </c>
      <c r="E70" s="91">
        <v>2946</v>
      </c>
      <c r="F70" s="91">
        <v>5892.1</v>
      </c>
      <c r="G70" s="84" t="s">
        <v>22</v>
      </c>
    </row>
    <row r="71" spans="1:7" x14ac:dyDescent="0.3">
      <c r="A71" s="82" t="s">
        <v>258</v>
      </c>
      <c r="B71" s="83" t="s">
        <v>259</v>
      </c>
      <c r="C71" s="83" t="s">
        <v>37</v>
      </c>
      <c r="D71" s="91">
        <v>2644.2</v>
      </c>
      <c r="E71" s="91">
        <v>2938</v>
      </c>
      <c r="F71" s="91">
        <v>5876.1</v>
      </c>
      <c r="G71" s="84" t="s">
        <v>18</v>
      </c>
    </row>
    <row r="72" spans="1:7" x14ac:dyDescent="0.3">
      <c r="A72" s="82" t="s">
        <v>382</v>
      </c>
      <c r="B72" s="83" t="s">
        <v>383</v>
      </c>
      <c r="C72" s="83" t="s">
        <v>17</v>
      </c>
      <c r="D72" s="91">
        <v>2641.5</v>
      </c>
      <c r="E72" s="91">
        <v>2935</v>
      </c>
      <c r="F72" s="91">
        <v>5870.1</v>
      </c>
      <c r="G72" s="84" t="s">
        <v>18</v>
      </c>
    </row>
    <row r="73" spans="1:7" x14ac:dyDescent="0.3">
      <c r="A73" s="82" t="s">
        <v>443</v>
      </c>
      <c r="B73" s="83" t="s">
        <v>444</v>
      </c>
      <c r="C73" s="83" t="s">
        <v>17</v>
      </c>
      <c r="D73" s="91">
        <v>2637</v>
      </c>
      <c r="E73" s="91">
        <v>2930</v>
      </c>
      <c r="F73" s="91">
        <v>5860.1</v>
      </c>
      <c r="G73" s="84" t="s">
        <v>18</v>
      </c>
    </row>
    <row r="74" spans="1:7" x14ac:dyDescent="0.3">
      <c r="A74" s="82" t="s">
        <v>251</v>
      </c>
      <c r="B74" s="83" t="s">
        <v>249</v>
      </c>
      <c r="C74" s="83" t="s">
        <v>17</v>
      </c>
      <c r="D74" s="91">
        <v>2633.4</v>
      </c>
      <c r="E74" s="91">
        <v>2926</v>
      </c>
      <c r="F74" s="91">
        <v>5852.1</v>
      </c>
      <c r="G74" s="84" t="s">
        <v>22</v>
      </c>
    </row>
    <row r="75" spans="1:7" x14ac:dyDescent="0.3">
      <c r="A75" s="82" t="s">
        <v>345</v>
      </c>
      <c r="B75" s="83" t="s">
        <v>343</v>
      </c>
      <c r="C75" s="83" t="s">
        <v>51</v>
      </c>
      <c r="D75" s="91">
        <v>2631.6</v>
      </c>
      <c r="E75" s="91">
        <v>2924</v>
      </c>
      <c r="F75" s="91">
        <v>5848.1</v>
      </c>
      <c r="G75" s="84" t="s">
        <v>22</v>
      </c>
    </row>
    <row r="76" spans="1:7" x14ac:dyDescent="0.3">
      <c r="A76" s="82" t="s">
        <v>465</v>
      </c>
      <c r="B76" s="83" t="s">
        <v>466</v>
      </c>
      <c r="C76" s="83" t="s">
        <v>47</v>
      </c>
      <c r="D76" s="91">
        <v>2628.9</v>
      </c>
      <c r="E76" s="91">
        <v>2921</v>
      </c>
      <c r="F76" s="91">
        <v>5842.1</v>
      </c>
      <c r="G76" s="84" t="s">
        <v>13</v>
      </c>
    </row>
    <row r="77" spans="1:7" x14ac:dyDescent="0.3">
      <c r="A77" s="82" t="s">
        <v>479</v>
      </c>
      <c r="B77" s="83" t="s">
        <v>480</v>
      </c>
      <c r="C77" s="83" t="s">
        <v>155</v>
      </c>
      <c r="D77" s="91">
        <v>2623.5</v>
      </c>
      <c r="E77" s="91">
        <v>2915</v>
      </c>
      <c r="F77" s="91">
        <v>5830.1</v>
      </c>
      <c r="G77" s="84" t="s">
        <v>13</v>
      </c>
    </row>
    <row r="78" spans="1:7" x14ac:dyDescent="0.3">
      <c r="A78" s="82" t="s">
        <v>504</v>
      </c>
      <c r="B78" s="83" t="s">
        <v>501</v>
      </c>
      <c r="C78" s="83" t="s">
        <v>51</v>
      </c>
      <c r="D78" s="91">
        <v>2619</v>
      </c>
      <c r="E78" s="91">
        <v>2910</v>
      </c>
      <c r="F78" s="91">
        <v>5820.1</v>
      </c>
      <c r="G78" s="84" t="s">
        <v>18</v>
      </c>
    </row>
    <row r="79" spans="1:7" x14ac:dyDescent="0.3">
      <c r="A79" s="82" t="s">
        <v>205</v>
      </c>
      <c r="B79" s="83" t="s">
        <v>206</v>
      </c>
      <c r="C79" s="83" t="s">
        <v>28</v>
      </c>
      <c r="D79" s="91">
        <v>2618.1</v>
      </c>
      <c r="E79" s="91">
        <v>2909</v>
      </c>
      <c r="F79" s="91">
        <v>5818.1</v>
      </c>
      <c r="G79" s="84" t="s">
        <v>18</v>
      </c>
    </row>
    <row r="80" spans="1:7" x14ac:dyDescent="0.3">
      <c r="A80" s="82" t="s">
        <v>49</v>
      </c>
      <c r="B80" s="83" t="s">
        <v>50</v>
      </c>
      <c r="C80" s="83" t="s">
        <v>51</v>
      </c>
      <c r="D80" s="91">
        <v>2614.5</v>
      </c>
      <c r="E80" s="91">
        <v>2905</v>
      </c>
      <c r="F80" s="91">
        <v>5810.1</v>
      </c>
      <c r="G80" s="84" t="s">
        <v>29</v>
      </c>
    </row>
    <row r="81" spans="1:7" x14ac:dyDescent="0.3">
      <c r="A81" s="82" t="s">
        <v>523</v>
      </c>
      <c r="B81" s="83" t="s">
        <v>521</v>
      </c>
      <c r="C81" s="83" t="s">
        <v>83</v>
      </c>
      <c r="D81" s="91">
        <v>2601</v>
      </c>
      <c r="E81" s="91">
        <v>2890</v>
      </c>
      <c r="F81" s="91">
        <v>5780.1</v>
      </c>
      <c r="G81" s="84" t="s">
        <v>13</v>
      </c>
    </row>
    <row r="82" spans="1:7" x14ac:dyDescent="0.3">
      <c r="A82" s="82" t="s">
        <v>365</v>
      </c>
      <c r="B82" s="83" t="s">
        <v>366</v>
      </c>
      <c r="C82" s="83" t="s">
        <v>37</v>
      </c>
      <c r="D82" s="91">
        <v>2594.6999999999998</v>
      </c>
      <c r="E82" s="91">
        <v>2883</v>
      </c>
      <c r="F82" s="91">
        <v>5766.1</v>
      </c>
      <c r="G82" s="84" t="s">
        <v>18</v>
      </c>
    </row>
    <row r="83" spans="1:7" x14ac:dyDescent="0.3">
      <c r="A83" s="82" t="s">
        <v>86</v>
      </c>
      <c r="B83" s="83" t="s">
        <v>87</v>
      </c>
      <c r="C83" s="83" t="s">
        <v>83</v>
      </c>
      <c r="D83" s="91">
        <v>2582.1</v>
      </c>
      <c r="E83" s="91">
        <v>2869</v>
      </c>
      <c r="F83" s="91">
        <v>5738.1</v>
      </c>
      <c r="G83" s="84" t="s">
        <v>13</v>
      </c>
    </row>
    <row r="84" spans="1:7" x14ac:dyDescent="0.3">
      <c r="A84" s="82" t="s">
        <v>503</v>
      </c>
      <c r="B84" s="83" t="s">
        <v>501</v>
      </c>
      <c r="C84" s="83" t="s">
        <v>37</v>
      </c>
      <c r="D84" s="91">
        <v>2570.4</v>
      </c>
      <c r="E84" s="91">
        <v>2856</v>
      </c>
      <c r="F84" s="91">
        <v>5712.1</v>
      </c>
      <c r="G84" s="84" t="s">
        <v>13</v>
      </c>
    </row>
    <row r="85" spans="1:7" x14ac:dyDescent="0.3">
      <c r="A85" s="82" t="s">
        <v>457</v>
      </c>
      <c r="B85" s="83" t="s">
        <v>459</v>
      </c>
      <c r="C85" s="83" t="s">
        <v>37</v>
      </c>
      <c r="D85" s="91">
        <v>2563.1999999999998</v>
      </c>
      <c r="E85" s="91">
        <v>2848</v>
      </c>
      <c r="F85" s="91">
        <v>5696.1</v>
      </c>
      <c r="G85" s="84" t="s">
        <v>13</v>
      </c>
    </row>
    <row r="86" spans="1:7" x14ac:dyDescent="0.3">
      <c r="A86" s="82" t="s">
        <v>284</v>
      </c>
      <c r="B86" s="83" t="s">
        <v>285</v>
      </c>
      <c r="C86" s="83" t="s">
        <v>17</v>
      </c>
      <c r="D86" s="91">
        <v>2556.9</v>
      </c>
      <c r="E86" s="91">
        <v>2841</v>
      </c>
      <c r="F86" s="91">
        <v>5682.1</v>
      </c>
      <c r="G86" s="84" t="s">
        <v>18</v>
      </c>
    </row>
    <row r="87" spans="1:7" x14ac:dyDescent="0.3">
      <c r="A87" s="82" t="s">
        <v>349</v>
      </c>
      <c r="B87" s="83" t="s">
        <v>348</v>
      </c>
      <c r="C87" s="83" t="s">
        <v>51</v>
      </c>
      <c r="D87" s="91">
        <v>2556.9</v>
      </c>
      <c r="E87" s="91">
        <v>2841</v>
      </c>
      <c r="F87" s="91">
        <v>5682.1</v>
      </c>
      <c r="G87" s="84" t="s">
        <v>22</v>
      </c>
    </row>
    <row r="88" spans="1:7" x14ac:dyDescent="0.3">
      <c r="A88" s="82" t="s">
        <v>534</v>
      </c>
      <c r="B88" s="83" t="s">
        <v>535</v>
      </c>
      <c r="C88" s="83" t="s">
        <v>98</v>
      </c>
      <c r="D88" s="91">
        <v>2521.8000000000002</v>
      </c>
      <c r="E88" s="91">
        <v>2802</v>
      </c>
      <c r="F88" s="91">
        <v>5604.1</v>
      </c>
      <c r="G88" s="84" t="s">
        <v>22</v>
      </c>
    </row>
    <row r="89" spans="1:7" x14ac:dyDescent="0.3">
      <c r="A89" s="82" t="s">
        <v>432</v>
      </c>
      <c r="B89" s="83" t="s">
        <v>433</v>
      </c>
      <c r="C89" s="83" t="s">
        <v>37</v>
      </c>
      <c r="D89" s="91">
        <v>2497.5</v>
      </c>
      <c r="E89" s="91">
        <v>2775</v>
      </c>
      <c r="F89" s="91">
        <v>5550.1</v>
      </c>
      <c r="G89" s="84" t="s">
        <v>18</v>
      </c>
    </row>
    <row r="90" spans="1:7" x14ac:dyDescent="0.3">
      <c r="A90" s="82" t="s">
        <v>469</v>
      </c>
      <c r="B90" s="83" t="s">
        <v>470</v>
      </c>
      <c r="C90" s="83" t="s">
        <v>51</v>
      </c>
      <c r="D90" s="91">
        <v>2490.3000000000002</v>
      </c>
      <c r="E90" s="91">
        <v>2767</v>
      </c>
      <c r="F90" s="91">
        <v>5534.1</v>
      </c>
      <c r="G90" s="84" t="s">
        <v>29</v>
      </c>
    </row>
    <row r="91" spans="1:7" x14ac:dyDescent="0.3">
      <c r="A91" s="82" t="s">
        <v>295</v>
      </c>
      <c r="B91" s="83" t="s">
        <v>296</v>
      </c>
      <c r="C91" s="83" t="s">
        <v>47</v>
      </c>
      <c r="D91" s="91">
        <v>2488.5</v>
      </c>
      <c r="E91" s="91">
        <v>2765</v>
      </c>
      <c r="F91" s="91">
        <v>5530.1</v>
      </c>
      <c r="G91" s="84" t="s">
        <v>18</v>
      </c>
    </row>
    <row r="92" spans="1:7" x14ac:dyDescent="0.3">
      <c r="A92" s="82" t="s">
        <v>321</v>
      </c>
      <c r="B92" s="83" t="s">
        <v>322</v>
      </c>
      <c r="C92" s="83" t="s">
        <v>323</v>
      </c>
      <c r="D92" s="91">
        <v>2488.5</v>
      </c>
      <c r="E92" s="91">
        <v>2765</v>
      </c>
      <c r="F92" s="91">
        <v>5530.1</v>
      </c>
      <c r="G92" s="84" t="s">
        <v>18</v>
      </c>
    </row>
    <row r="93" spans="1:7" x14ac:dyDescent="0.3">
      <c r="A93" s="82" t="s">
        <v>429</v>
      </c>
      <c r="B93" s="83" t="s">
        <v>428</v>
      </c>
      <c r="C93" s="83" t="s">
        <v>51</v>
      </c>
      <c r="D93" s="91">
        <v>2484.9</v>
      </c>
      <c r="E93" s="91">
        <v>2761</v>
      </c>
      <c r="F93" s="91">
        <v>5522.1</v>
      </c>
      <c r="G93" s="84" t="s">
        <v>29</v>
      </c>
    </row>
    <row r="94" spans="1:7" x14ac:dyDescent="0.3">
      <c r="A94" s="82" t="s">
        <v>65</v>
      </c>
      <c r="B94" s="83" t="s">
        <v>66</v>
      </c>
      <c r="C94" s="83" t="s">
        <v>37</v>
      </c>
      <c r="D94" s="91">
        <v>2481.3000000000002</v>
      </c>
      <c r="E94" s="91">
        <v>2757</v>
      </c>
      <c r="F94" s="91">
        <v>5514.1</v>
      </c>
      <c r="G94" s="84" t="s">
        <v>18</v>
      </c>
    </row>
    <row r="95" spans="1:7" x14ac:dyDescent="0.3">
      <c r="A95" s="82" t="s">
        <v>405</v>
      </c>
      <c r="B95" s="83" t="s">
        <v>404</v>
      </c>
      <c r="C95" s="83" t="s">
        <v>98</v>
      </c>
      <c r="D95" s="91">
        <v>2473.1999999999998</v>
      </c>
      <c r="E95" s="91">
        <v>2748</v>
      </c>
      <c r="F95" s="91">
        <v>5496.1</v>
      </c>
      <c r="G95" s="84" t="s">
        <v>18</v>
      </c>
    </row>
    <row r="96" spans="1:7" x14ac:dyDescent="0.3">
      <c r="A96" s="82" t="s">
        <v>362</v>
      </c>
      <c r="B96" s="83" t="s">
        <v>364</v>
      </c>
      <c r="C96" s="83" t="s">
        <v>51</v>
      </c>
      <c r="D96" s="91">
        <v>2465.1</v>
      </c>
      <c r="E96" s="91">
        <v>2739</v>
      </c>
      <c r="F96" s="91">
        <v>5478.1</v>
      </c>
      <c r="G96" s="84" t="s">
        <v>18</v>
      </c>
    </row>
    <row r="97" spans="1:7" x14ac:dyDescent="0.3">
      <c r="A97" s="82" t="s">
        <v>231</v>
      </c>
      <c r="B97" s="83" t="s">
        <v>232</v>
      </c>
      <c r="C97" s="83" t="s">
        <v>17</v>
      </c>
      <c r="D97" s="91">
        <v>2462.4</v>
      </c>
      <c r="E97" s="91">
        <v>2736</v>
      </c>
      <c r="F97" s="91">
        <v>5472.1</v>
      </c>
      <c r="G97" s="84" t="s">
        <v>22</v>
      </c>
    </row>
    <row r="98" spans="1:7" x14ac:dyDescent="0.3">
      <c r="A98" s="82" t="s">
        <v>525</v>
      </c>
      <c r="B98" s="83" t="s">
        <v>526</v>
      </c>
      <c r="C98" s="83" t="s">
        <v>37</v>
      </c>
      <c r="D98" s="91">
        <v>2451.6</v>
      </c>
      <c r="E98" s="91">
        <v>2724</v>
      </c>
      <c r="F98" s="91">
        <v>5448.1</v>
      </c>
      <c r="G98" s="84" t="s">
        <v>22</v>
      </c>
    </row>
    <row r="99" spans="1:7" x14ac:dyDescent="0.3">
      <c r="A99" s="82" t="s">
        <v>529</v>
      </c>
      <c r="B99" s="83" t="s">
        <v>530</v>
      </c>
      <c r="C99" s="83" t="s">
        <v>51</v>
      </c>
      <c r="D99" s="91">
        <v>2443.5</v>
      </c>
      <c r="E99" s="91">
        <v>2715</v>
      </c>
      <c r="F99" s="91">
        <v>5430.1</v>
      </c>
      <c r="G99" s="84" t="s">
        <v>13</v>
      </c>
    </row>
    <row r="100" spans="1:7" x14ac:dyDescent="0.3">
      <c r="A100" s="82" t="s">
        <v>393</v>
      </c>
      <c r="B100" s="83" t="s">
        <v>394</v>
      </c>
      <c r="C100" s="83" t="s">
        <v>47</v>
      </c>
      <c r="D100" s="91">
        <v>2441.6999999999998</v>
      </c>
      <c r="E100" s="91">
        <v>2713</v>
      </c>
      <c r="F100" s="91">
        <v>5426.1</v>
      </c>
      <c r="G100" s="84" t="s">
        <v>29</v>
      </c>
    </row>
    <row r="101" spans="1:7" x14ac:dyDescent="0.3">
      <c r="A101" s="82" t="s">
        <v>311</v>
      </c>
      <c r="B101" s="83" t="s">
        <v>312</v>
      </c>
      <c r="C101" s="83" t="s">
        <v>51</v>
      </c>
      <c r="D101" s="91">
        <v>2420.1</v>
      </c>
      <c r="E101" s="91">
        <v>2689</v>
      </c>
      <c r="F101" s="91">
        <v>5378.1</v>
      </c>
      <c r="G101" s="84" t="s">
        <v>13</v>
      </c>
    </row>
    <row r="102" spans="1:7" x14ac:dyDescent="0.3">
      <c r="A102" s="82" t="s">
        <v>26</v>
      </c>
      <c r="B102" s="83" t="s">
        <v>27</v>
      </c>
      <c r="C102" s="83" t="s">
        <v>28</v>
      </c>
      <c r="D102" s="91">
        <v>2412</v>
      </c>
      <c r="E102" s="91">
        <v>2680</v>
      </c>
      <c r="F102" s="91">
        <v>5360.1</v>
      </c>
      <c r="G102" s="84" t="s">
        <v>29</v>
      </c>
    </row>
    <row r="103" spans="1:7" x14ac:dyDescent="0.3">
      <c r="A103" s="82" t="s">
        <v>121</v>
      </c>
      <c r="B103" s="83" t="s">
        <v>122</v>
      </c>
      <c r="C103" s="83" t="s">
        <v>47</v>
      </c>
      <c r="D103" s="91">
        <v>2410.1999999999998</v>
      </c>
      <c r="E103" s="91">
        <v>2678</v>
      </c>
      <c r="F103" s="91">
        <v>5356.1</v>
      </c>
      <c r="G103" s="84" t="s">
        <v>18</v>
      </c>
    </row>
    <row r="104" spans="1:7" x14ac:dyDescent="0.3">
      <c r="A104" s="82" t="s">
        <v>214</v>
      </c>
      <c r="B104" s="83" t="s">
        <v>215</v>
      </c>
      <c r="C104" s="83" t="s">
        <v>51</v>
      </c>
      <c r="D104" s="91">
        <v>2408.4</v>
      </c>
      <c r="E104" s="91">
        <v>2676</v>
      </c>
      <c r="F104" s="91">
        <v>5352.1</v>
      </c>
      <c r="G104" s="84" t="s">
        <v>13</v>
      </c>
    </row>
    <row r="105" spans="1:7" x14ac:dyDescent="0.3">
      <c r="A105" s="82" t="s">
        <v>505</v>
      </c>
      <c r="B105" s="83" t="s">
        <v>501</v>
      </c>
      <c r="C105" s="83" t="s">
        <v>51</v>
      </c>
      <c r="D105" s="91">
        <v>2391.3000000000002</v>
      </c>
      <c r="E105" s="91">
        <v>2657</v>
      </c>
      <c r="F105" s="91">
        <v>5314.1</v>
      </c>
      <c r="G105" s="84" t="s">
        <v>13</v>
      </c>
    </row>
    <row r="106" spans="1:7" x14ac:dyDescent="0.3">
      <c r="A106" s="82" t="s">
        <v>512</v>
      </c>
      <c r="B106" s="83" t="s">
        <v>513</v>
      </c>
      <c r="C106" s="83" t="s">
        <v>17</v>
      </c>
      <c r="D106" s="91">
        <v>2385.9</v>
      </c>
      <c r="E106" s="91">
        <v>2651</v>
      </c>
      <c r="F106" s="91">
        <v>5302.1</v>
      </c>
      <c r="G106" s="84" t="s">
        <v>18</v>
      </c>
    </row>
    <row r="107" spans="1:7" x14ac:dyDescent="0.3">
      <c r="A107" s="82" t="s">
        <v>449</v>
      </c>
      <c r="B107" s="83" t="s">
        <v>451</v>
      </c>
      <c r="C107" s="83" t="s">
        <v>17</v>
      </c>
      <c r="D107" s="91">
        <v>2384.1</v>
      </c>
      <c r="E107" s="91">
        <v>2649</v>
      </c>
      <c r="F107" s="91">
        <v>5298.1</v>
      </c>
      <c r="G107" s="84" t="s">
        <v>29</v>
      </c>
    </row>
    <row r="108" spans="1:7" x14ac:dyDescent="0.3">
      <c r="A108" s="82" t="s">
        <v>132</v>
      </c>
      <c r="B108" s="83" t="s">
        <v>133</v>
      </c>
      <c r="C108" s="83" t="s">
        <v>33</v>
      </c>
      <c r="D108" s="91">
        <v>2383.1999999999998</v>
      </c>
      <c r="E108" s="91">
        <v>2648</v>
      </c>
      <c r="F108" s="91">
        <v>5296.1</v>
      </c>
      <c r="G108" s="84" t="s">
        <v>18</v>
      </c>
    </row>
    <row r="109" spans="1:7" x14ac:dyDescent="0.3">
      <c r="A109" s="82" t="s">
        <v>461</v>
      </c>
      <c r="B109" s="83" t="s">
        <v>462</v>
      </c>
      <c r="C109" s="83" t="s">
        <v>155</v>
      </c>
      <c r="D109" s="91">
        <v>2383.1999999999998</v>
      </c>
      <c r="E109" s="91">
        <v>2648</v>
      </c>
      <c r="F109" s="91">
        <v>5296.1</v>
      </c>
      <c r="G109" s="84" t="s">
        <v>29</v>
      </c>
    </row>
    <row r="110" spans="1:7" x14ac:dyDescent="0.3">
      <c r="A110" s="82" t="s">
        <v>313</v>
      </c>
      <c r="B110" s="83" t="s">
        <v>314</v>
      </c>
      <c r="C110" s="83" t="s">
        <v>47</v>
      </c>
      <c r="D110" s="91">
        <v>2377.8000000000002</v>
      </c>
      <c r="E110" s="91">
        <v>2642</v>
      </c>
      <c r="F110" s="91">
        <v>5284.1</v>
      </c>
      <c r="G110" s="84" t="s">
        <v>18</v>
      </c>
    </row>
    <row r="111" spans="1:7" x14ac:dyDescent="0.3">
      <c r="A111" s="82" t="s">
        <v>137</v>
      </c>
      <c r="B111" s="83" t="s">
        <v>138</v>
      </c>
      <c r="C111" s="83" t="s">
        <v>17</v>
      </c>
      <c r="D111" s="91">
        <v>2375.1</v>
      </c>
      <c r="E111" s="91">
        <v>2639</v>
      </c>
      <c r="F111" s="91">
        <v>5278.1</v>
      </c>
      <c r="G111" s="84" t="s">
        <v>22</v>
      </c>
    </row>
    <row r="112" spans="1:7" x14ac:dyDescent="0.3">
      <c r="A112" s="82" t="s">
        <v>475</v>
      </c>
      <c r="B112" s="83" t="s">
        <v>476</v>
      </c>
      <c r="C112" s="83" t="s">
        <v>47</v>
      </c>
      <c r="D112" s="91">
        <v>2364.3000000000002</v>
      </c>
      <c r="E112" s="91">
        <v>2627</v>
      </c>
      <c r="F112" s="91">
        <v>5254.1</v>
      </c>
      <c r="G112" s="84" t="s">
        <v>13</v>
      </c>
    </row>
    <row r="113" spans="1:7" x14ac:dyDescent="0.3">
      <c r="A113" s="82" t="s">
        <v>146</v>
      </c>
      <c r="B113" s="83" t="s">
        <v>147</v>
      </c>
      <c r="C113" s="83" t="s">
        <v>17</v>
      </c>
      <c r="D113" s="91">
        <v>2355.3000000000002</v>
      </c>
      <c r="E113" s="91">
        <v>2617</v>
      </c>
      <c r="F113" s="91">
        <v>5234.1000000000004</v>
      </c>
      <c r="G113" s="84" t="s">
        <v>13</v>
      </c>
    </row>
    <row r="114" spans="1:7" x14ac:dyDescent="0.3">
      <c r="A114" s="82" t="s">
        <v>116</v>
      </c>
      <c r="B114" s="83" t="s">
        <v>117</v>
      </c>
      <c r="C114" s="83" t="s">
        <v>17</v>
      </c>
      <c r="D114" s="91">
        <v>2340</v>
      </c>
      <c r="E114" s="91">
        <v>2600</v>
      </c>
      <c r="F114" s="91">
        <v>5200.1000000000004</v>
      </c>
      <c r="G114" s="84" t="s">
        <v>29</v>
      </c>
    </row>
    <row r="115" spans="1:7" x14ac:dyDescent="0.3">
      <c r="A115" s="82" t="s">
        <v>243</v>
      </c>
      <c r="B115" s="83" t="s">
        <v>244</v>
      </c>
      <c r="C115" s="83" t="s">
        <v>25</v>
      </c>
      <c r="D115" s="91">
        <v>2329.1999999999998</v>
      </c>
      <c r="E115" s="91">
        <v>2588</v>
      </c>
      <c r="F115" s="91">
        <v>5176.1000000000004</v>
      </c>
      <c r="G115" s="84" t="s">
        <v>29</v>
      </c>
    </row>
    <row r="116" spans="1:7" x14ac:dyDescent="0.3">
      <c r="A116" s="82" t="s">
        <v>183</v>
      </c>
      <c r="B116" s="83" t="s">
        <v>184</v>
      </c>
      <c r="C116" s="83" t="s">
        <v>47</v>
      </c>
      <c r="D116" s="91">
        <v>2325.6</v>
      </c>
      <c r="E116" s="91">
        <v>2584</v>
      </c>
      <c r="F116" s="91">
        <v>5168.1000000000004</v>
      </c>
      <c r="G116" s="84" t="s">
        <v>18</v>
      </c>
    </row>
    <row r="117" spans="1:7" x14ac:dyDescent="0.3">
      <c r="A117" s="82" t="s">
        <v>181</v>
      </c>
      <c r="B117" s="83" t="s">
        <v>182</v>
      </c>
      <c r="C117" s="83" t="s">
        <v>51</v>
      </c>
      <c r="D117" s="91">
        <v>2324.6999999999998</v>
      </c>
      <c r="E117" s="91">
        <v>2583</v>
      </c>
      <c r="F117" s="91">
        <v>5166.1000000000004</v>
      </c>
      <c r="G117" s="84" t="s">
        <v>22</v>
      </c>
    </row>
    <row r="118" spans="1:7" x14ac:dyDescent="0.3">
      <c r="A118" s="82" t="s">
        <v>386</v>
      </c>
      <c r="B118" s="83" t="s">
        <v>387</v>
      </c>
      <c r="C118" s="83" t="s">
        <v>51</v>
      </c>
      <c r="D118" s="91">
        <v>2322.9</v>
      </c>
      <c r="E118" s="91">
        <v>2581</v>
      </c>
      <c r="F118" s="91">
        <v>5162.1000000000004</v>
      </c>
      <c r="G118" s="84" t="s">
        <v>13</v>
      </c>
    </row>
    <row r="119" spans="1:7" x14ac:dyDescent="0.3">
      <c r="A119" s="82" t="s">
        <v>129</v>
      </c>
      <c r="B119" s="83" t="s">
        <v>128</v>
      </c>
      <c r="C119" s="83" t="s">
        <v>17</v>
      </c>
      <c r="D119" s="91">
        <v>2318.4</v>
      </c>
      <c r="E119" s="91">
        <v>2576</v>
      </c>
      <c r="F119" s="91">
        <v>5152.1000000000004</v>
      </c>
      <c r="G119" s="84" t="s">
        <v>22</v>
      </c>
    </row>
    <row r="120" spans="1:7" x14ac:dyDescent="0.3">
      <c r="A120" s="82" t="s">
        <v>243</v>
      </c>
      <c r="B120" s="83" t="s">
        <v>245</v>
      </c>
      <c r="C120" s="83" t="s">
        <v>47</v>
      </c>
      <c r="D120" s="91">
        <v>2318.4</v>
      </c>
      <c r="E120" s="91">
        <v>2576</v>
      </c>
      <c r="F120" s="91">
        <v>5152.1000000000004</v>
      </c>
      <c r="G120" s="84" t="s">
        <v>18</v>
      </c>
    </row>
    <row r="121" spans="1:7" x14ac:dyDescent="0.3">
      <c r="A121" s="82" t="s">
        <v>332</v>
      </c>
      <c r="B121" s="83" t="s">
        <v>333</v>
      </c>
      <c r="C121" s="83" t="s">
        <v>47</v>
      </c>
      <c r="D121" s="91">
        <v>2301.3000000000002</v>
      </c>
      <c r="E121" s="91">
        <v>2557</v>
      </c>
      <c r="F121" s="91">
        <v>5114.1000000000004</v>
      </c>
      <c r="G121" s="84" t="s">
        <v>22</v>
      </c>
    </row>
    <row r="122" spans="1:7" x14ac:dyDescent="0.3">
      <c r="A122" s="82" t="s">
        <v>110</v>
      </c>
      <c r="B122" s="83" t="s">
        <v>111</v>
      </c>
      <c r="C122" s="83" t="s">
        <v>17</v>
      </c>
      <c r="D122" s="91">
        <v>2300.4</v>
      </c>
      <c r="E122" s="91">
        <v>2556</v>
      </c>
      <c r="F122" s="91">
        <v>5112.1000000000004</v>
      </c>
      <c r="G122" s="84" t="s">
        <v>13</v>
      </c>
    </row>
    <row r="123" spans="1:7" x14ac:dyDescent="0.3">
      <c r="A123" s="82" t="s">
        <v>518</v>
      </c>
      <c r="B123" s="83" t="s">
        <v>519</v>
      </c>
      <c r="C123" s="83" t="s">
        <v>51</v>
      </c>
      <c r="D123" s="91">
        <v>2282.4</v>
      </c>
      <c r="E123" s="91">
        <v>2536</v>
      </c>
      <c r="F123" s="91">
        <v>5072.1000000000004</v>
      </c>
      <c r="G123" s="84" t="s">
        <v>18</v>
      </c>
    </row>
    <row r="124" spans="1:7" x14ac:dyDescent="0.3">
      <c r="A124" s="82" t="s">
        <v>419</v>
      </c>
      <c r="B124" s="83" t="s">
        <v>420</v>
      </c>
      <c r="C124" s="83" t="s">
        <v>51</v>
      </c>
      <c r="D124" s="91">
        <v>2277</v>
      </c>
      <c r="E124" s="91">
        <v>2530</v>
      </c>
      <c r="F124" s="91">
        <v>5060.1000000000004</v>
      </c>
      <c r="G124" s="84" t="s">
        <v>22</v>
      </c>
    </row>
    <row r="125" spans="1:7" x14ac:dyDescent="0.3">
      <c r="A125" s="82" t="s">
        <v>262</v>
      </c>
      <c r="B125" s="83" t="s">
        <v>263</v>
      </c>
      <c r="C125" s="83" t="s">
        <v>37</v>
      </c>
      <c r="D125" s="91">
        <v>2275.1999999999998</v>
      </c>
      <c r="E125" s="91">
        <v>2528</v>
      </c>
      <c r="F125" s="91">
        <v>5056.1000000000004</v>
      </c>
      <c r="G125" s="84" t="s">
        <v>13</v>
      </c>
    </row>
    <row r="126" spans="1:7" x14ac:dyDescent="0.3">
      <c r="A126" s="82" t="s">
        <v>308</v>
      </c>
      <c r="B126" s="83" t="s">
        <v>309</v>
      </c>
      <c r="C126" s="83" t="s">
        <v>310</v>
      </c>
      <c r="D126" s="91">
        <v>2274.3000000000002</v>
      </c>
      <c r="E126" s="91">
        <v>2527</v>
      </c>
      <c r="F126" s="91">
        <v>5054.1000000000004</v>
      </c>
      <c r="G126" s="84" t="s">
        <v>13</v>
      </c>
    </row>
    <row r="127" spans="1:7" x14ac:dyDescent="0.3">
      <c r="A127" s="82" t="s">
        <v>357</v>
      </c>
      <c r="B127" s="83" t="s">
        <v>358</v>
      </c>
      <c r="C127" s="83" t="s">
        <v>17</v>
      </c>
      <c r="D127" s="91">
        <v>2263.5</v>
      </c>
      <c r="E127" s="91">
        <v>2515</v>
      </c>
      <c r="F127" s="91">
        <v>5030.1000000000004</v>
      </c>
      <c r="G127" s="84" t="s">
        <v>29</v>
      </c>
    </row>
    <row r="128" spans="1:7" x14ac:dyDescent="0.3">
      <c r="A128" s="82" t="s">
        <v>370</v>
      </c>
      <c r="B128" s="83" t="s">
        <v>371</v>
      </c>
      <c r="C128" s="83" t="s">
        <v>51</v>
      </c>
      <c r="D128" s="91">
        <v>2241.9</v>
      </c>
      <c r="E128" s="91">
        <v>2491</v>
      </c>
      <c r="F128" s="91">
        <v>4982.1000000000004</v>
      </c>
      <c r="G128" s="84" t="s">
        <v>18</v>
      </c>
    </row>
    <row r="129" spans="1:7" x14ac:dyDescent="0.3">
      <c r="A129" s="82" t="s">
        <v>390</v>
      </c>
      <c r="B129" s="83" t="s">
        <v>391</v>
      </c>
      <c r="C129" s="83" t="s">
        <v>37</v>
      </c>
      <c r="D129" s="91">
        <v>2222.1</v>
      </c>
      <c r="E129" s="91">
        <v>2469</v>
      </c>
      <c r="F129" s="91">
        <v>4938.1000000000004</v>
      </c>
      <c r="G129" s="84" t="s">
        <v>29</v>
      </c>
    </row>
    <row r="130" spans="1:7" x14ac:dyDescent="0.3">
      <c r="A130" s="82" t="s">
        <v>349</v>
      </c>
      <c r="B130" s="83" t="s">
        <v>350</v>
      </c>
      <c r="C130" s="83" t="s">
        <v>51</v>
      </c>
      <c r="D130" s="91">
        <v>2220.3000000000002</v>
      </c>
      <c r="E130" s="91">
        <v>2467</v>
      </c>
      <c r="F130" s="91">
        <v>4934.1000000000004</v>
      </c>
      <c r="G130" s="84" t="s">
        <v>18</v>
      </c>
    </row>
    <row r="131" spans="1:7" x14ac:dyDescent="0.3">
      <c r="A131" s="82" t="s">
        <v>329</v>
      </c>
      <c r="B131" s="83" t="s">
        <v>330</v>
      </c>
      <c r="C131" s="83" t="s">
        <v>51</v>
      </c>
      <c r="D131" s="91">
        <v>2206.8000000000002</v>
      </c>
      <c r="E131" s="91">
        <v>2452</v>
      </c>
      <c r="F131" s="91">
        <v>4904.1000000000004</v>
      </c>
      <c r="G131" s="84" t="s">
        <v>29</v>
      </c>
    </row>
    <row r="132" spans="1:7" x14ac:dyDescent="0.3">
      <c r="A132" s="82" t="s">
        <v>167</v>
      </c>
      <c r="B132" s="83" t="s">
        <v>168</v>
      </c>
      <c r="C132" s="83" t="s">
        <v>17</v>
      </c>
      <c r="D132" s="91">
        <v>2180.6999999999998</v>
      </c>
      <c r="E132" s="91">
        <v>2423</v>
      </c>
      <c r="F132" s="91">
        <v>4846.1000000000004</v>
      </c>
      <c r="G132" s="84" t="s">
        <v>18</v>
      </c>
    </row>
    <row r="133" spans="1:7" x14ac:dyDescent="0.3">
      <c r="A133" s="82" t="s">
        <v>103</v>
      </c>
      <c r="B133" s="83" t="s">
        <v>104</v>
      </c>
      <c r="C133" s="83" t="s">
        <v>37</v>
      </c>
      <c r="D133" s="91">
        <v>2171.6999999999998</v>
      </c>
      <c r="E133" s="91">
        <v>2413</v>
      </c>
      <c r="F133" s="91">
        <v>4826.1000000000004</v>
      </c>
      <c r="G133" s="84" t="s">
        <v>18</v>
      </c>
    </row>
    <row r="134" spans="1:7" x14ac:dyDescent="0.3">
      <c r="A134" s="82" t="s">
        <v>467</v>
      </c>
      <c r="B134" s="83" t="s">
        <v>468</v>
      </c>
      <c r="C134" s="83" t="s">
        <v>17</v>
      </c>
      <c r="D134" s="91">
        <v>2168.1</v>
      </c>
      <c r="E134" s="91">
        <v>2409</v>
      </c>
      <c r="F134" s="91">
        <v>4818.1000000000004</v>
      </c>
      <c r="G134" s="84" t="s">
        <v>29</v>
      </c>
    </row>
    <row r="135" spans="1:7" x14ac:dyDescent="0.3">
      <c r="A135" s="82" t="s">
        <v>61</v>
      </c>
      <c r="B135" s="83" t="s">
        <v>59</v>
      </c>
      <c r="C135" s="83" t="s">
        <v>17</v>
      </c>
      <c r="D135" s="91">
        <v>2164.5</v>
      </c>
      <c r="E135" s="91">
        <v>2405</v>
      </c>
      <c r="F135" s="91">
        <v>4810.1000000000004</v>
      </c>
      <c r="G135" s="84" t="s">
        <v>29</v>
      </c>
    </row>
    <row r="136" spans="1:7" x14ac:dyDescent="0.3">
      <c r="A136" s="82" t="s">
        <v>412</v>
      </c>
      <c r="B136" s="83" t="s">
        <v>413</v>
      </c>
      <c r="C136" s="83" t="s">
        <v>51</v>
      </c>
      <c r="D136" s="91">
        <v>2143.8000000000002</v>
      </c>
      <c r="E136" s="91">
        <v>2382</v>
      </c>
      <c r="F136" s="91">
        <v>4764.1000000000004</v>
      </c>
      <c r="G136" s="84" t="s">
        <v>29</v>
      </c>
    </row>
    <row r="137" spans="1:7" x14ac:dyDescent="0.3">
      <c r="A137" s="82" t="s">
        <v>482</v>
      </c>
      <c r="B137" s="83" t="s">
        <v>483</v>
      </c>
      <c r="C137" s="83" t="s">
        <v>17</v>
      </c>
      <c r="D137" s="91">
        <v>2136.6</v>
      </c>
      <c r="E137" s="91">
        <v>2374</v>
      </c>
      <c r="F137" s="91">
        <v>4748.1000000000004</v>
      </c>
      <c r="G137" s="84" t="s">
        <v>22</v>
      </c>
    </row>
    <row r="138" spans="1:7" x14ac:dyDescent="0.3">
      <c r="A138" s="82" t="s">
        <v>506</v>
      </c>
      <c r="B138" s="83" t="s">
        <v>501</v>
      </c>
      <c r="C138" s="83" t="s">
        <v>47</v>
      </c>
      <c r="D138" s="91">
        <v>2132.1</v>
      </c>
      <c r="E138" s="91">
        <v>2369</v>
      </c>
      <c r="F138" s="91">
        <v>4738.1000000000004</v>
      </c>
      <c r="G138" s="84" t="s">
        <v>13</v>
      </c>
    </row>
    <row r="139" spans="1:7" x14ac:dyDescent="0.3">
      <c r="A139" s="82" t="s">
        <v>325</v>
      </c>
      <c r="B139" s="83" t="s">
        <v>326</v>
      </c>
      <c r="C139" s="83" t="s">
        <v>28</v>
      </c>
      <c r="D139" s="91">
        <v>2129.4</v>
      </c>
      <c r="E139" s="91">
        <v>2366</v>
      </c>
      <c r="F139" s="91">
        <v>4732.1000000000004</v>
      </c>
      <c r="G139" s="84" t="s">
        <v>13</v>
      </c>
    </row>
    <row r="140" spans="1:7" x14ac:dyDescent="0.3">
      <c r="A140" s="82" t="s">
        <v>427</v>
      </c>
      <c r="B140" s="83" t="s">
        <v>428</v>
      </c>
      <c r="C140" s="83" t="s">
        <v>51</v>
      </c>
      <c r="D140" s="91">
        <v>2128.5</v>
      </c>
      <c r="E140" s="91">
        <v>2365</v>
      </c>
      <c r="F140" s="91">
        <v>4730.1000000000004</v>
      </c>
      <c r="G140" s="84" t="s">
        <v>18</v>
      </c>
    </row>
    <row r="141" spans="1:7" x14ac:dyDescent="0.3">
      <c r="A141" s="82" t="s">
        <v>250</v>
      </c>
      <c r="B141" s="83" t="s">
        <v>249</v>
      </c>
      <c r="C141" s="83" t="s">
        <v>51</v>
      </c>
      <c r="D141" s="91">
        <v>2126.6999999999998</v>
      </c>
      <c r="E141" s="91">
        <v>2363</v>
      </c>
      <c r="F141" s="91">
        <v>4726.1000000000004</v>
      </c>
      <c r="G141" s="84" t="s">
        <v>29</v>
      </c>
    </row>
    <row r="142" spans="1:7" x14ac:dyDescent="0.3">
      <c r="A142" s="82" t="s">
        <v>423</v>
      </c>
      <c r="B142" s="83" t="s">
        <v>424</v>
      </c>
      <c r="C142" s="83" t="s">
        <v>98</v>
      </c>
      <c r="D142" s="91">
        <v>2104.1999999999998</v>
      </c>
      <c r="E142" s="91">
        <v>2338</v>
      </c>
      <c r="F142" s="91">
        <v>4676.1000000000004</v>
      </c>
      <c r="G142" s="84" t="s">
        <v>18</v>
      </c>
    </row>
    <row r="143" spans="1:7" x14ac:dyDescent="0.3">
      <c r="A143" s="82" t="s">
        <v>347</v>
      </c>
      <c r="B143" s="83" t="s">
        <v>348</v>
      </c>
      <c r="C143" s="83" t="s">
        <v>47</v>
      </c>
      <c r="D143" s="91">
        <v>2094.3000000000002</v>
      </c>
      <c r="E143" s="91">
        <v>2327</v>
      </c>
      <c r="F143" s="91">
        <v>4654.1000000000004</v>
      </c>
      <c r="G143" s="84" t="s">
        <v>13</v>
      </c>
    </row>
    <row r="144" spans="1:7" x14ac:dyDescent="0.3">
      <c r="A144" s="82" t="s">
        <v>531</v>
      </c>
      <c r="B144" s="83" t="s">
        <v>532</v>
      </c>
      <c r="C144" s="83" t="s">
        <v>17</v>
      </c>
      <c r="D144" s="91">
        <v>2094.3000000000002</v>
      </c>
      <c r="E144" s="91">
        <v>2327</v>
      </c>
      <c r="F144" s="91">
        <v>4654.1000000000004</v>
      </c>
      <c r="G144" s="84" t="s">
        <v>29</v>
      </c>
    </row>
    <row r="145" spans="1:7" x14ac:dyDescent="0.3">
      <c r="A145" s="82" t="s">
        <v>369</v>
      </c>
      <c r="B145" s="83" t="s">
        <v>368</v>
      </c>
      <c r="C145" s="83" t="s">
        <v>51</v>
      </c>
      <c r="D145" s="91">
        <v>2089.8000000000002</v>
      </c>
      <c r="E145" s="91">
        <v>2322</v>
      </c>
      <c r="F145" s="91">
        <v>4644.1000000000004</v>
      </c>
      <c r="G145" s="84" t="s">
        <v>18</v>
      </c>
    </row>
    <row r="146" spans="1:7" x14ac:dyDescent="0.3">
      <c r="A146" s="82" t="s">
        <v>284</v>
      </c>
      <c r="B146" s="83" t="s">
        <v>286</v>
      </c>
      <c r="C146" s="83" t="s">
        <v>51</v>
      </c>
      <c r="D146" s="91">
        <v>2088</v>
      </c>
      <c r="E146" s="91">
        <v>2320</v>
      </c>
      <c r="F146" s="91">
        <v>4640.1000000000004</v>
      </c>
      <c r="G146" s="84" t="s">
        <v>13</v>
      </c>
    </row>
    <row r="147" spans="1:7" x14ac:dyDescent="0.3">
      <c r="A147" s="82" t="s">
        <v>43</v>
      </c>
      <c r="B147" s="83" t="s">
        <v>44</v>
      </c>
      <c r="C147" s="83" t="s">
        <v>25</v>
      </c>
      <c r="D147" s="91">
        <v>2084.4</v>
      </c>
      <c r="E147" s="91">
        <v>2316</v>
      </c>
      <c r="F147" s="91">
        <v>4632.1000000000004</v>
      </c>
      <c r="G147" s="84" t="s">
        <v>22</v>
      </c>
    </row>
    <row r="148" spans="1:7" x14ac:dyDescent="0.3">
      <c r="A148" s="82" t="s">
        <v>498</v>
      </c>
      <c r="B148" s="83" t="s">
        <v>499</v>
      </c>
      <c r="C148" s="83" t="s">
        <v>51</v>
      </c>
      <c r="D148" s="91">
        <v>2084.4</v>
      </c>
      <c r="E148" s="91">
        <v>2316</v>
      </c>
      <c r="F148" s="91">
        <v>4632.1000000000004</v>
      </c>
      <c r="G148" s="84" t="s">
        <v>29</v>
      </c>
    </row>
    <row r="149" spans="1:7" x14ac:dyDescent="0.3">
      <c r="A149" s="82" t="s">
        <v>334</v>
      </c>
      <c r="B149" s="83" t="s">
        <v>335</v>
      </c>
      <c r="C149" s="83" t="s">
        <v>51</v>
      </c>
      <c r="D149" s="91">
        <v>2083.5</v>
      </c>
      <c r="E149" s="91">
        <v>2315</v>
      </c>
      <c r="F149" s="91">
        <v>4630.1000000000004</v>
      </c>
      <c r="G149" s="84" t="s">
        <v>29</v>
      </c>
    </row>
    <row r="150" spans="1:7" x14ac:dyDescent="0.3">
      <c r="A150" s="82" t="s">
        <v>395</v>
      </c>
      <c r="B150" s="83" t="s">
        <v>396</v>
      </c>
      <c r="C150" s="83" t="s">
        <v>25</v>
      </c>
      <c r="D150" s="91">
        <v>2063.6999999999998</v>
      </c>
      <c r="E150" s="91">
        <v>2293</v>
      </c>
      <c r="F150" s="91">
        <v>4586.1000000000004</v>
      </c>
      <c r="G150" s="84" t="s">
        <v>13</v>
      </c>
    </row>
    <row r="151" spans="1:7" x14ac:dyDescent="0.3">
      <c r="A151" s="82" t="s">
        <v>283</v>
      </c>
      <c r="B151" s="83" t="s">
        <v>282</v>
      </c>
      <c r="C151" s="83" t="s">
        <v>37</v>
      </c>
      <c r="D151" s="91">
        <v>2050.1999999999998</v>
      </c>
      <c r="E151" s="91">
        <v>2278</v>
      </c>
      <c r="F151" s="91">
        <v>4556.1000000000004</v>
      </c>
      <c r="G151" s="84" t="s">
        <v>22</v>
      </c>
    </row>
    <row r="152" spans="1:7" x14ac:dyDescent="0.3">
      <c r="A152" s="82" t="s">
        <v>237</v>
      </c>
      <c r="B152" s="83" t="s">
        <v>238</v>
      </c>
      <c r="C152" s="83" t="s">
        <v>51</v>
      </c>
      <c r="D152" s="91">
        <v>2047.5</v>
      </c>
      <c r="E152" s="91">
        <v>2275</v>
      </c>
      <c r="F152" s="91">
        <v>4550.1000000000004</v>
      </c>
      <c r="G152" s="84" t="s">
        <v>18</v>
      </c>
    </row>
    <row r="153" spans="1:7" x14ac:dyDescent="0.3">
      <c r="A153" s="82" t="s">
        <v>303</v>
      </c>
      <c r="B153" s="83" t="s">
        <v>304</v>
      </c>
      <c r="C153" s="83" t="s">
        <v>155</v>
      </c>
      <c r="D153" s="91">
        <v>2036.7</v>
      </c>
      <c r="E153" s="91">
        <v>2263</v>
      </c>
      <c r="F153" s="91">
        <v>4526.1000000000004</v>
      </c>
      <c r="G153" s="84" t="s">
        <v>13</v>
      </c>
    </row>
    <row r="154" spans="1:7" x14ac:dyDescent="0.3">
      <c r="A154" s="82" t="s">
        <v>520</v>
      </c>
      <c r="B154" s="83" t="s">
        <v>521</v>
      </c>
      <c r="C154" s="83" t="s">
        <v>51</v>
      </c>
      <c r="D154" s="91">
        <v>2034</v>
      </c>
      <c r="E154" s="91">
        <v>2260</v>
      </c>
      <c r="F154" s="91">
        <v>4520.1000000000004</v>
      </c>
      <c r="G154" s="84" t="s">
        <v>29</v>
      </c>
    </row>
    <row r="155" spans="1:7" x14ac:dyDescent="0.3">
      <c r="A155" s="82" t="s">
        <v>258</v>
      </c>
      <c r="B155" s="83" t="s">
        <v>260</v>
      </c>
      <c r="C155" s="83" t="s">
        <v>155</v>
      </c>
      <c r="D155" s="91">
        <v>2028.6</v>
      </c>
      <c r="E155" s="91">
        <v>2254</v>
      </c>
      <c r="F155" s="91">
        <v>4508.1000000000004</v>
      </c>
      <c r="G155" s="84" t="s">
        <v>13</v>
      </c>
    </row>
    <row r="156" spans="1:7" x14ac:dyDescent="0.3">
      <c r="A156" s="82" t="s">
        <v>225</v>
      </c>
      <c r="B156" s="83" t="s">
        <v>226</v>
      </c>
      <c r="C156" s="83" t="s">
        <v>83</v>
      </c>
      <c r="D156" s="91">
        <v>2015.1</v>
      </c>
      <c r="E156" s="91">
        <v>2239</v>
      </c>
      <c r="F156" s="91">
        <v>4478.1000000000004</v>
      </c>
      <c r="G156" s="84" t="s">
        <v>22</v>
      </c>
    </row>
    <row r="157" spans="1:7" x14ac:dyDescent="0.3">
      <c r="A157" s="82" t="s">
        <v>321</v>
      </c>
      <c r="B157" s="83" t="s">
        <v>324</v>
      </c>
      <c r="C157" s="83" t="s">
        <v>17</v>
      </c>
      <c r="D157" s="91">
        <v>2007</v>
      </c>
      <c r="E157" s="91">
        <v>2230</v>
      </c>
      <c r="F157" s="91">
        <v>4460.1000000000004</v>
      </c>
      <c r="G157" s="84" t="s">
        <v>29</v>
      </c>
    </row>
    <row r="158" spans="1:7" x14ac:dyDescent="0.3">
      <c r="A158" s="82" t="s">
        <v>153</v>
      </c>
      <c r="B158" s="83" t="s">
        <v>154</v>
      </c>
      <c r="C158" s="83" t="s">
        <v>155</v>
      </c>
      <c r="D158" s="91">
        <v>2001.6</v>
      </c>
      <c r="E158" s="91">
        <v>2224</v>
      </c>
      <c r="F158" s="91">
        <v>4448.1000000000004</v>
      </c>
      <c r="G158" s="84" t="s">
        <v>29</v>
      </c>
    </row>
    <row r="159" spans="1:7" x14ac:dyDescent="0.3">
      <c r="A159" s="82" t="s">
        <v>39</v>
      </c>
      <c r="B159" s="83" t="s">
        <v>40</v>
      </c>
      <c r="C159" s="83" t="s">
        <v>17</v>
      </c>
      <c r="D159" s="91">
        <v>1995.3</v>
      </c>
      <c r="E159" s="91">
        <v>2217</v>
      </c>
      <c r="F159" s="91">
        <v>4434.1000000000004</v>
      </c>
      <c r="G159" s="84" t="s">
        <v>18</v>
      </c>
    </row>
    <row r="160" spans="1:7" x14ac:dyDescent="0.3">
      <c r="A160" s="82" t="s">
        <v>289</v>
      </c>
      <c r="B160" s="83" t="s">
        <v>285</v>
      </c>
      <c r="C160" s="83" t="s">
        <v>51</v>
      </c>
      <c r="D160" s="91">
        <v>1995.3</v>
      </c>
      <c r="E160" s="91">
        <v>2217</v>
      </c>
      <c r="F160" s="91">
        <v>4434.1000000000004</v>
      </c>
      <c r="G160" s="84" t="s">
        <v>13</v>
      </c>
    </row>
    <row r="161" spans="1:7" x14ac:dyDescent="0.3">
      <c r="A161" s="82" t="s">
        <v>229</v>
      </c>
      <c r="B161" s="83" t="s">
        <v>230</v>
      </c>
      <c r="C161" s="83" t="s">
        <v>17</v>
      </c>
      <c r="D161" s="91">
        <v>1989.9</v>
      </c>
      <c r="E161" s="91">
        <v>2211</v>
      </c>
      <c r="F161" s="91">
        <v>4422.1000000000004</v>
      </c>
      <c r="G161" s="84" t="s">
        <v>13</v>
      </c>
    </row>
    <row r="162" spans="1:7" x14ac:dyDescent="0.3">
      <c r="A162" s="82" t="s">
        <v>61</v>
      </c>
      <c r="B162" s="83" t="s">
        <v>59</v>
      </c>
      <c r="C162" s="83" t="s">
        <v>37</v>
      </c>
      <c r="D162" s="91">
        <v>1986.3</v>
      </c>
      <c r="E162" s="91">
        <v>2207</v>
      </c>
      <c r="F162" s="91">
        <v>4414.1000000000004</v>
      </c>
      <c r="G162" s="84" t="s">
        <v>13</v>
      </c>
    </row>
    <row r="163" spans="1:7" x14ac:dyDescent="0.3">
      <c r="A163" s="82" t="s">
        <v>484</v>
      </c>
      <c r="B163" s="83" t="s">
        <v>485</v>
      </c>
      <c r="C163" s="83" t="s">
        <v>83</v>
      </c>
      <c r="D163" s="91">
        <v>1986.3</v>
      </c>
      <c r="E163" s="91">
        <v>2207</v>
      </c>
      <c r="F163" s="91">
        <v>4414.1000000000004</v>
      </c>
      <c r="G163" s="84" t="s">
        <v>18</v>
      </c>
    </row>
    <row r="164" spans="1:7" x14ac:dyDescent="0.3">
      <c r="A164" s="82" t="s">
        <v>380</v>
      </c>
      <c r="B164" s="83" t="s">
        <v>381</v>
      </c>
      <c r="C164" s="83" t="s">
        <v>83</v>
      </c>
      <c r="D164" s="91">
        <v>1960.2</v>
      </c>
      <c r="E164" s="91">
        <v>2178</v>
      </c>
      <c r="F164" s="91">
        <v>4356.1000000000004</v>
      </c>
      <c r="G164" s="84" t="s">
        <v>13</v>
      </c>
    </row>
    <row r="165" spans="1:7" x14ac:dyDescent="0.3">
      <c r="A165" s="82" t="s">
        <v>139</v>
      </c>
      <c r="B165" s="83" t="s">
        <v>140</v>
      </c>
      <c r="C165" s="83" t="s">
        <v>51</v>
      </c>
      <c r="D165" s="91">
        <v>1957.5</v>
      </c>
      <c r="E165" s="91">
        <v>2175</v>
      </c>
      <c r="F165" s="91">
        <v>4350.1000000000004</v>
      </c>
      <c r="G165" s="84" t="s">
        <v>18</v>
      </c>
    </row>
    <row r="166" spans="1:7" x14ac:dyDescent="0.3">
      <c r="A166" s="82" t="s">
        <v>219</v>
      </c>
      <c r="B166" s="83" t="s">
        <v>220</v>
      </c>
      <c r="C166" s="83" t="s">
        <v>51</v>
      </c>
      <c r="D166" s="91">
        <v>1954.8</v>
      </c>
      <c r="E166" s="91">
        <v>2172</v>
      </c>
      <c r="F166" s="91">
        <v>4344.1000000000004</v>
      </c>
      <c r="G166" s="84" t="s">
        <v>22</v>
      </c>
    </row>
    <row r="167" spans="1:7" x14ac:dyDescent="0.3">
      <c r="A167" s="82" t="s">
        <v>276</v>
      </c>
      <c r="B167" s="83" t="s">
        <v>275</v>
      </c>
      <c r="C167" s="83" t="s">
        <v>155</v>
      </c>
      <c r="D167" s="91">
        <v>1951.2</v>
      </c>
      <c r="E167" s="91">
        <v>2168</v>
      </c>
      <c r="F167" s="91">
        <v>4336.1000000000004</v>
      </c>
      <c r="G167" s="84" t="s">
        <v>18</v>
      </c>
    </row>
    <row r="168" spans="1:7" x14ac:dyDescent="0.3">
      <c r="A168" s="82" t="s">
        <v>351</v>
      </c>
      <c r="B168" s="83" t="s">
        <v>352</v>
      </c>
      <c r="C168" s="83" t="s">
        <v>37</v>
      </c>
      <c r="D168" s="91">
        <v>1950.3</v>
      </c>
      <c r="E168" s="91">
        <v>2167</v>
      </c>
      <c r="F168" s="91">
        <v>4334.1000000000004</v>
      </c>
      <c r="G168" s="84" t="s">
        <v>18</v>
      </c>
    </row>
    <row r="169" spans="1:7" x14ac:dyDescent="0.3">
      <c r="A169" s="82" t="s">
        <v>268</v>
      </c>
      <c r="B169" s="83" t="s">
        <v>269</v>
      </c>
      <c r="C169" s="83" t="s">
        <v>28</v>
      </c>
      <c r="D169" s="91">
        <v>1949.4</v>
      </c>
      <c r="E169" s="91">
        <v>2166</v>
      </c>
      <c r="F169" s="91">
        <v>4332.1000000000004</v>
      </c>
      <c r="G169" s="84" t="s">
        <v>18</v>
      </c>
    </row>
    <row r="170" spans="1:7" x14ac:dyDescent="0.3">
      <c r="A170" s="82" t="s">
        <v>134</v>
      </c>
      <c r="B170" s="83" t="s">
        <v>135</v>
      </c>
      <c r="C170" s="83" t="s">
        <v>17</v>
      </c>
      <c r="D170" s="91">
        <v>1939.5</v>
      </c>
      <c r="E170" s="91">
        <v>2155</v>
      </c>
      <c r="F170" s="91">
        <v>4310.1000000000004</v>
      </c>
      <c r="G170" s="84" t="s">
        <v>29</v>
      </c>
    </row>
    <row r="171" spans="1:7" x14ac:dyDescent="0.3">
      <c r="A171" s="82" t="s">
        <v>522</v>
      </c>
      <c r="B171" s="83" t="s">
        <v>521</v>
      </c>
      <c r="C171" s="83" t="s">
        <v>17</v>
      </c>
      <c r="D171" s="91">
        <v>1937.7</v>
      </c>
      <c r="E171" s="91">
        <v>2153</v>
      </c>
      <c r="F171" s="91">
        <v>4306.1000000000004</v>
      </c>
      <c r="G171" s="84" t="s">
        <v>13</v>
      </c>
    </row>
    <row r="172" spans="1:7" x14ac:dyDescent="0.3">
      <c r="A172" s="82" t="s">
        <v>231</v>
      </c>
      <c r="B172" s="83" t="s">
        <v>233</v>
      </c>
      <c r="C172" s="83" t="s">
        <v>17</v>
      </c>
      <c r="D172" s="91">
        <v>1935.9</v>
      </c>
      <c r="E172" s="91">
        <v>2151</v>
      </c>
      <c r="F172" s="91">
        <v>4302.1000000000004</v>
      </c>
      <c r="G172" s="84" t="s">
        <v>18</v>
      </c>
    </row>
    <row r="173" spans="1:7" x14ac:dyDescent="0.3">
      <c r="A173" s="82" t="s">
        <v>74</v>
      </c>
      <c r="B173" s="83" t="s">
        <v>73</v>
      </c>
      <c r="C173" s="83" t="s">
        <v>47</v>
      </c>
      <c r="D173" s="91">
        <v>1928.7</v>
      </c>
      <c r="E173" s="91">
        <v>2143</v>
      </c>
      <c r="F173" s="91">
        <v>4286.1000000000004</v>
      </c>
      <c r="G173" s="84" t="s">
        <v>29</v>
      </c>
    </row>
    <row r="174" spans="1:7" x14ac:dyDescent="0.3">
      <c r="A174" s="82" t="s">
        <v>301</v>
      </c>
      <c r="B174" s="83" t="s">
        <v>302</v>
      </c>
      <c r="C174" s="83" t="s">
        <v>47</v>
      </c>
      <c r="D174" s="91">
        <v>1925.1</v>
      </c>
      <c r="E174" s="91">
        <v>2139</v>
      </c>
      <c r="F174" s="91">
        <v>4278.1000000000004</v>
      </c>
      <c r="G174" s="84" t="s">
        <v>29</v>
      </c>
    </row>
    <row r="175" spans="1:7" x14ac:dyDescent="0.3">
      <c r="A175" s="82" t="s">
        <v>531</v>
      </c>
      <c r="B175" s="83" t="s">
        <v>533</v>
      </c>
      <c r="C175" s="83" t="s">
        <v>155</v>
      </c>
      <c r="D175" s="91">
        <v>1917</v>
      </c>
      <c r="E175" s="91">
        <v>2130</v>
      </c>
      <c r="F175" s="91">
        <v>4260.1000000000004</v>
      </c>
      <c r="G175" s="84" t="s">
        <v>13</v>
      </c>
    </row>
    <row r="176" spans="1:7" x14ac:dyDescent="0.3">
      <c r="A176" s="82" t="s">
        <v>195</v>
      </c>
      <c r="B176" s="83" t="s">
        <v>196</v>
      </c>
      <c r="C176" s="83" t="s">
        <v>28</v>
      </c>
      <c r="D176" s="91">
        <v>1910.7</v>
      </c>
      <c r="E176" s="91">
        <v>2123</v>
      </c>
      <c r="F176" s="91">
        <v>4246.1000000000004</v>
      </c>
      <c r="G176" s="84" t="s">
        <v>29</v>
      </c>
    </row>
    <row r="177" spans="1:7" x14ac:dyDescent="0.3">
      <c r="A177" s="82" t="s">
        <v>75</v>
      </c>
      <c r="B177" s="83" t="s">
        <v>76</v>
      </c>
      <c r="C177" s="83" t="s">
        <v>33</v>
      </c>
      <c r="D177" s="91">
        <v>1907.1</v>
      </c>
      <c r="E177" s="91">
        <v>2119</v>
      </c>
      <c r="F177" s="91">
        <v>4238.1000000000004</v>
      </c>
      <c r="G177" s="84" t="s">
        <v>22</v>
      </c>
    </row>
    <row r="178" spans="1:7" x14ac:dyDescent="0.3">
      <c r="A178" s="82" t="s">
        <v>120</v>
      </c>
      <c r="B178" s="83" t="s">
        <v>119</v>
      </c>
      <c r="C178" s="83" t="s">
        <v>51</v>
      </c>
      <c r="D178" s="91">
        <v>1899.9</v>
      </c>
      <c r="E178" s="91">
        <v>2111</v>
      </c>
      <c r="F178" s="91">
        <v>4222.1000000000004</v>
      </c>
      <c r="G178" s="84" t="s">
        <v>29</v>
      </c>
    </row>
    <row r="179" spans="1:7" x14ac:dyDescent="0.3">
      <c r="A179" s="82" t="s">
        <v>258</v>
      </c>
      <c r="B179" s="83" t="s">
        <v>261</v>
      </c>
      <c r="C179" s="83" t="s">
        <v>17</v>
      </c>
      <c r="D179" s="91">
        <v>1890.9</v>
      </c>
      <c r="E179" s="91">
        <v>2101</v>
      </c>
      <c r="F179" s="91">
        <v>4202.1000000000004</v>
      </c>
      <c r="G179" s="84" t="s">
        <v>22</v>
      </c>
    </row>
    <row r="180" spans="1:7" x14ac:dyDescent="0.3">
      <c r="A180" s="82" t="s">
        <v>197</v>
      </c>
      <c r="B180" s="83" t="s">
        <v>198</v>
      </c>
      <c r="C180" s="83" t="s">
        <v>51</v>
      </c>
      <c r="D180" s="91">
        <v>1888.2</v>
      </c>
      <c r="E180" s="91">
        <v>2098</v>
      </c>
      <c r="F180" s="91">
        <v>4196.1000000000004</v>
      </c>
      <c r="G180" s="84" t="s">
        <v>29</v>
      </c>
    </row>
    <row r="181" spans="1:7" x14ac:dyDescent="0.3">
      <c r="A181" s="82" t="s">
        <v>32</v>
      </c>
      <c r="B181" s="83" t="s">
        <v>27</v>
      </c>
      <c r="C181" s="83" t="s">
        <v>33</v>
      </c>
      <c r="D181" s="91">
        <v>1887.3</v>
      </c>
      <c r="E181" s="91">
        <v>2097</v>
      </c>
      <c r="F181" s="91">
        <v>4194.1000000000004</v>
      </c>
      <c r="G181" s="84" t="s">
        <v>29</v>
      </c>
    </row>
    <row r="182" spans="1:7" x14ac:dyDescent="0.3">
      <c r="A182" s="82" t="s">
        <v>421</v>
      </c>
      <c r="B182" s="83" t="s">
        <v>422</v>
      </c>
      <c r="C182" s="83" t="s">
        <v>17</v>
      </c>
      <c r="D182" s="91">
        <v>1886.4</v>
      </c>
      <c r="E182" s="91">
        <v>2096</v>
      </c>
      <c r="F182" s="91">
        <v>4192.1000000000004</v>
      </c>
      <c r="G182" s="84" t="s">
        <v>13</v>
      </c>
    </row>
    <row r="183" spans="1:7" x14ac:dyDescent="0.3">
      <c r="A183" s="82" t="s">
        <v>172</v>
      </c>
      <c r="B183" s="83" t="s">
        <v>173</v>
      </c>
      <c r="C183" s="83" t="s">
        <v>51</v>
      </c>
      <c r="D183" s="91">
        <v>1856.7</v>
      </c>
      <c r="E183" s="91">
        <v>2063</v>
      </c>
      <c r="F183" s="91">
        <v>4126.1000000000004</v>
      </c>
      <c r="G183" s="84" t="s">
        <v>18</v>
      </c>
    </row>
    <row r="184" spans="1:7" x14ac:dyDescent="0.3">
      <c r="A184" s="82" t="s">
        <v>434</v>
      </c>
      <c r="B184" s="83" t="s">
        <v>435</v>
      </c>
      <c r="C184" s="83" t="s">
        <v>101</v>
      </c>
      <c r="D184" s="91">
        <v>1837.8</v>
      </c>
      <c r="E184" s="91">
        <v>2042</v>
      </c>
      <c r="F184" s="91">
        <v>4084.1</v>
      </c>
      <c r="G184" s="84" t="s">
        <v>13</v>
      </c>
    </row>
    <row r="185" spans="1:7" x14ac:dyDescent="0.3">
      <c r="A185" s="82" t="s">
        <v>401</v>
      </c>
      <c r="B185" s="83" t="s">
        <v>402</v>
      </c>
      <c r="C185" s="83" t="s">
        <v>155</v>
      </c>
      <c r="D185" s="91">
        <v>1822.5</v>
      </c>
      <c r="E185" s="91">
        <v>2025</v>
      </c>
      <c r="F185" s="91">
        <v>4050.1</v>
      </c>
      <c r="G185" s="84" t="s">
        <v>29</v>
      </c>
    </row>
    <row r="186" spans="1:7" x14ac:dyDescent="0.3">
      <c r="A186" s="82" t="s">
        <v>63</v>
      </c>
      <c r="B186" s="83" t="s">
        <v>64</v>
      </c>
      <c r="C186" s="83" t="s">
        <v>37</v>
      </c>
      <c r="D186" s="91">
        <v>1800.9</v>
      </c>
      <c r="E186" s="91">
        <v>2001</v>
      </c>
      <c r="F186" s="91">
        <v>4002.1</v>
      </c>
      <c r="G186" s="84" t="s">
        <v>22</v>
      </c>
    </row>
    <row r="187" spans="1:7" x14ac:dyDescent="0.3">
      <c r="A187" s="82" t="s">
        <v>342</v>
      </c>
      <c r="B187" s="83" t="s">
        <v>343</v>
      </c>
      <c r="C187" s="83" t="s">
        <v>47</v>
      </c>
      <c r="D187" s="91">
        <v>1800.9</v>
      </c>
      <c r="E187" s="91">
        <v>2001</v>
      </c>
      <c r="F187" s="91">
        <v>4002.1</v>
      </c>
      <c r="G187" s="84" t="s">
        <v>22</v>
      </c>
    </row>
    <row r="188" spans="1:7" x14ac:dyDescent="0.3">
      <c r="A188" s="82" t="s">
        <v>264</v>
      </c>
      <c r="B188" s="83" t="s">
        <v>265</v>
      </c>
      <c r="C188" s="83" t="s">
        <v>155</v>
      </c>
      <c r="D188" s="91">
        <v>1779.3</v>
      </c>
      <c r="E188" s="91">
        <v>1977</v>
      </c>
      <c r="F188" s="91">
        <v>3954.1</v>
      </c>
      <c r="G188" s="84" t="s">
        <v>29</v>
      </c>
    </row>
    <row r="189" spans="1:7" x14ac:dyDescent="0.3">
      <c r="A189" s="82" t="s">
        <v>357</v>
      </c>
      <c r="B189" s="83" t="s">
        <v>358</v>
      </c>
      <c r="C189" s="83" t="s">
        <v>51</v>
      </c>
      <c r="D189" s="91">
        <v>1768.5</v>
      </c>
      <c r="E189" s="91">
        <v>1965</v>
      </c>
      <c r="F189" s="91">
        <v>3930.1</v>
      </c>
      <c r="G189" s="84" t="s">
        <v>29</v>
      </c>
    </row>
    <row r="190" spans="1:7" x14ac:dyDescent="0.3">
      <c r="A190" s="82" t="s">
        <v>112</v>
      </c>
      <c r="B190" s="83" t="s">
        <v>113</v>
      </c>
      <c r="C190" s="83" t="s">
        <v>47</v>
      </c>
      <c r="D190" s="91">
        <v>1762.2</v>
      </c>
      <c r="E190" s="91">
        <v>1958</v>
      </c>
      <c r="F190" s="91">
        <v>3916.1</v>
      </c>
      <c r="G190" s="84" t="s">
        <v>22</v>
      </c>
    </row>
    <row r="191" spans="1:7" x14ac:dyDescent="0.3">
      <c r="A191" s="82" t="s">
        <v>199</v>
      </c>
      <c r="B191" s="83" t="s">
        <v>200</v>
      </c>
      <c r="C191" s="83" t="s">
        <v>37</v>
      </c>
      <c r="D191" s="91">
        <v>1762.2</v>
      </c>
      <c r="E191" s="91">
        <v>1958</v>
      </c>
      <c r="F191" s="91">
        <v>3916.1</v>
      </c>
      <c r="G191" s="84" t="s">
        <v>18</v>
      </c>
    </row>
    <row r="192" spans="1:7" x14ac:dyDescent="0.3">
      <c r="A192" s="82" t="s">
        <v>457</v>
      </c>
      <c r="B192" s="83" t="s">
        <v>460</v>
      </c>
      <c r="C192" s="83" t="s">
        <v>37</v>
      </c>
      <c r="D192" s="91">
        <v>1760.4</v>
      </c>
      <c r="E192" s="91">
        <v>1956</v>
      </c>
      <c r="F192" s="91">
        <v>3912.1</v>
      </c>
      <c r="G192" s="84" t="s">
        <v>13</v>
      </c>
    </row>
    <row r="193" spans="1:7" x14ac:dyDescent="0.3">
      <c r="A193" s="82" t="s">
        <v>70</v>
      </c>
      <c r="B193" s="83" t="s">
        <v>69</v>
      </c>
      <c r="C193" s="83" t="s">
        <v>51</v>
      </c>
      <c r="D193" s="91">
        <v>1755</v>
      </c>
      <c r="E193" s="91">
        <v>1950</v>
      </c>
      <c r="F193" s="91">
        <v>3900.1</v>
      </c>
      <c r="G193" s="84" t="s">
        <v>18</v>
      </c>
    </row>
    <row r="194" spans="1:7" x14ac:dyDescent="0.3">
      <c r="A194" s="82" t="s">
        <v>134</v>
      </c>
      <c r="B194" s="83" t="s">
        <v>136</v>
      </c>
      <c r="C194" s="83" t="s">
        <v>83</v>
      </c>
      <c r="D194" s="91">
        <v>1748.7</v>
      </c>
      <c r="E194" s="91">
        <v>1943</v>
      </c>
      <c r="F194" s="91">
        <v>3886.1</v>
      </c>
      <c r="G194" s="84" t="s">
        <v>18</v>
      </c>
    </row>
    <row r="195" spans="1:7" x14ac:dyDescent="0.3">
      <c r="A195" s="82" t="s">
        <v>288</v>
      </c>
      <c r="B195" s="83" t="s">
        <v>285</v>
      </c>
      <c r="C195" s="83" t="s">
        <v>33</v>
      </c>
      <c r="D195" s="91">
        <v>1739.7</v>
      </c>
      <c r="E195" s="91">
        <v>1933</v>
      </c>
      <c r="F195" s="91">
        <v>3866.1</v>
      </c>
      <c r="G195" s="84" t="s">
        <v>18</v>
      </c>
    </row>
    <row r="196" spans="1:7" x14ac:dyDescent="0.3">
      <c r="A196" s="82" t="s">
        <v>231</v>
      </c>
      <c r="B196" s="83" t="s">
        <v>234</v>
      </c>
      <c r="C196" s="83" t="s">
        <v>47</v>
      </c>
      <c r="D196" s="91">
        <v>1737</v>
      </c>
      <c r="E196" s="91">
        <v>1930</v>
      </c>
      <c r="F196" s="91">
        <v>3860.1</v>
      </c>
      <c r="G196" s="84" t="s">
        <v>18</v>
      </c>
    </row>
    <row r="197" spans="1:7" x14ac:dyDescent="0.3">
      <c r="A197" s="82" t="s">
        <v>355</v>
      </c>
      <c r="B197" s="83" t="s">
        <v>356</v>
      </c>
      <c r="C197" s="83" t="s">
        <v>51</v>
      </c>
      <c r="D197" s="91">
        <v>1735.2</v>
      </c>
      <c r="E197" s="91">
        <v>1928</v>
      </c>
      <c r="F197" s="91">
        <v>3856.1</v>
      </c>
      <c r="G197" s="84" t="s">
        <v>22</v>
      </c>
    </row>
    <row r="198" spans="1:7" x14ac:dyDescent="0.3">
      <c r="A198" s="82" t="s">
        <v>156</v>
      </c>
      <c r="B198" s="83" t="s">
        <v>157</v>
      </c>
      <c r="C198" s="83" t="s">
        <v>17</v>
      </c>
      <c r="D198" s="91">
        <v>1734.3</v>
      </c>
      <c r="E198" s="91">
        <v>1927</v>
      </c>
      <c r="F198" s="91">
        <v>3854.1</v>
      </c>
      <c r="G198" s="84" t="s">
        <v>29</v>
      </c>
    </row>
    <row r="199" spans="1:7" x14ac:dyDescent="0.3">
      <c r="A199" s="82" t="s">
        <v>123</v>
      </c>
      <c r="B199" s="83" t="s">
        <v>124</v>
      </c>
      <c r="C199" s="83" t="s">
        <v>51</v>
      </c>
      <c r="D199" s="91">
        <v>1730.7</v>
      </c>
      <c r="E199" s="91">
        <v>1923</v>
      </c>
      <c r="F199" s="91">
        <v>3846.1</v>
      </c>
      <c r="G199" s="84" t="s">
        <v>29</v>
      </c>
    </row>
    <row r="200" spans="1:7" x14ac:dyDescent="0.3">
      <c r="A200" s="82" t="s">
        <v>256</v>
      </c>
      <c r="B200" s="83" t="s">
        <v>257</v>
      </c>
      <c r="C200" s="83" t="s">
        <v>51</v>
      </c>
      <c r="D200" s="91">
        <v>1707.3</v>
      </c>
      <c r="E200" s="91">
        <v>1897</v>
      </c>
      <c r="F200" s="91">
        <v>3794.1</v>
      </c>
      <c r="G200" s="84" t="s">
        <v>29</v>
      </c>
    </row>
    <row r="201" spans="1:7" x14ac:dyDescent="0.3">
      <c r="A201" s="82" t="s">
        <v>509</v>
      </c>
      <c r="B201" s="83" t="s">
        <v>510</v>
      </c>
      <c r="C201" s="83" t="s">
        <v>37</v>
      </c>
      <c r="D201" s="91">
        <v>1703.7</v>
      </c>
      <c r="E201" s="91">
        <v>1893</v>
      </c>
      <c r="F201" s="91">
        <v>3786.1</v>
      </c>
      <c r="G201" s="84" t="s">
        <v>29</v>
      </c>
    </row>
    <row r="202" spans="1:7" x14ac:dyDescent="0.3">
      <c r="A202" s="82" t="s">
        <v>490</v>
      </c>
      <c r="B202" s="83" t="s">
        <v>489</v>
      </c>
      <c r="C202" s="83" t="s">
        <v>51</v>
      </c>
      <c r="D202" s="91">
        <v>1695.6</v>
      </c>
      <c r="E202" s="91">
        <v>1884</v>
      </c>
      <c r="F202" s="91">
        <v>3768.1</v>
      </c>
      <c r="G202" s="84" t="s">
        <v>22</v>
      </c>
    </row>
    <row r="203" spans="1:7" x14ac:dyDescent="0.3">
      <c r="A203" s="82" t="s">
        <v>222</v>
      </c>
      <c r="B203" s="83" t="s">
        <v>220</v>
      </c>
      <c r="C203" s="83" t="s">
        <v>37</v>
      </c>
      <c r="D203" s="91">
        <v>1691.1</v>
      </c>
      <c r="E203" s="91">
        <v>1879</v>
      </c>
      <c r="F203" s="91">
        <v>3758.1</v>
      </c>
      <c r="G203" s="84" t="s">
        <v>18</v>
      </c>
    </row>
    <row r="204" spans="1:7" x14ac:dyDescent="0.3">
      <c r="A204" s="82" t="s">
        <v>130</v>
      </c>
      <c r="B204" s="83" t="s">
        <v>131</v>
      </c>
      <c r="C204" s="83" t="s">
        <v>51</v>
      </c>
      <c r="D204" s="91">
        <v>1683.9</v>
      </c>
      <c r="E204" s="91">
        <v>1871</v>
      </c>
      <c r="F204" s="91">
        <v>3742.1</v>
      </c>
      <c r="G204" s="84" t="s">
        <v>22</v>
      </c>
    </row>
    <row r="205" spans="1:7" x14ac:dyDescent="0.3">
      <c r="A205" s="82" t="s">
        <v>496</v>
      </c>
      <c r="B205" s="83" t="s">
        <v>497</v>
      </c>
      <c r="C205" s="83" t="s">
        <v>83</v>
      </c>
      <c r="D205" s="91">
        <v>1677.6</v>
      </c>
      <c r="E205" s="91">
        <v>1864</v>
      </c>
      <c r="F205" s="91">
        <v>3728.1</v>
      </c>
      <c r="G205" s="84" t="s">
        <v>13</v>
      </c>
    </row>
    <row r="206" spans="1:7" x14ac:dyDescent="0.3">
      <c r="A206" s="82" t="s">
        <v>505</v>
      </c>
      <c r="B206" s="83" t="s">
        <v>501</v>
      </c>
      <c r="C206" s="83" t="s">
        <v>155</v>
      </c>
      <c r="D206" s="91">
        <v>1656.9</v>
      </c>
      <c r="E206" s="91">
        <v>1841</v>
      </c>
      <c r="F206" s="91">
        <v>3682.1</v>
      </c>
      <c r="G206" s="84" t="s">
        <v>18</v>
      </c>
    </row>
    <row r="207" spans="1:7" x14ac:dyDescent="0.3">
      <c r="A207" s="82" t="s">
        <v>99</v>
      </c>
      <c r="B207" s="83" t="s">
        <v>102</v>
      </c>
      <c r="C207" s="83" t="s">
        <v>17</v>
      </c>
      <c r="D207" s="91">
        <v>1648.8</v>
      </c>
      <c r="E207" s="91">
        <v>1832</v>
      </c>
      <c r="F207" s="91">
        <v>3664.1</v>
      </c>
      <c r="G207" s="84" t="s">
        <v>29</v>
      </c>
    </row>
    <row r="208" spans="1:7" x14ac:dyDescent="0.3">
      <c r="A208" s="82" t="s">
        <v>344</v>
      </c>
      <c r="B208" s="83" t="s">
        <v>343</v>
      </c>
      <c r="C208" s="83" t="s">
        <v>51</v>
      </c>
      <c r="D208" s="91">
        <v>1644.3</v>
      </c>
      <c r="E208" s="91">
        <v>1827</v>
      </c>
      <c r="F208" s="91">
        <v>3654.1</v>
      </c>
      <c r="G208" s="84" t="s">
        <v>13</v>
      </c>
    </row>
    <row r="209" spans="1:7" x14ac:dyDescent="0.3">
      <c r="A209" s="82" t="s">
        <v>142</v>
      </c>
      <c r="B209" s="83" t="s">
        <v>143</v>
      </c>
      <c r="C209" s="83" t="s">
        <v>17</v>
      </c>
      <c r="D209" s="91">
        <v>1643.4</v>
      </c>
      <c r="E209" s="91">
        <v>1826</v>
      </c>
      <c r="F209" s="91">
        <v>3652.1</v>
      </c>
      <c r="G209" s="84" t="s">
        <v>22</v>
      </c>
    </row>
    <row r="210" spans="1:7" x14ac:dyDescent="0.3">
      <c r="A210" s="82" t="s">
        <v>359</v>
      </c>
      <c r="B210" s="83" t="s">
        <v>358</v>
      </c>
      <c r="C210" s="83" t="s">
        <v>37</v>
      </c>
      <c r="D210" s="91">
        <v>1643.4</v>
      </c>
      <c r="E210" s="91">
        <v>1826</v>
      </c>
      <c r="F210" s="91">
        <v>3652.1</v>
      </c>
      <c r="G210" s="84" t="s">
        <v>22</v>
      </c>
    </row>
    <row r="211" spans="1:7" x14ac:dyDescent="0.3">
      <c r="A211" s="82" t="s">
        <v>492</v>
      </c>
      <c r="B211" s="83" t="s">
        <v>493</v>
      </c>
      <c r="C211" s="83" t="s">
        <v>155</v>
      </c>
      <c r="D211" s="91">
        <v>1631.7</v>
      </c>
      <c r="E211" s="91">
        <v>1813</v>
      </c>
      <c r="F211" s="91">
        <v>3626.1</v>
      </c>
      <c r="G211" s="84" t="s">
        <v>22</v>
      </c>
    </row>
    <row r="212" spans="1:7" x14ac:dyDescent="0.3">
      <c r="A212" s="82" t="s">
        <v>205</v>
      </c>
      <c r="B212" s="83" t="s">
        <v>207</v>
      </c>
      <c r="C212" s="83" t="s">
        <v>51</v>
      </c>
      <c r="D212" s="91">
        <v>1629.9</v>
      </c>
      <c r="E212" s="91">
        <v>1811</v>
      </c>
      <c r="F212" s="91">
        <v>3622.1</v>
      </c>
      <c r="G212" s="84" t="s">
        <v>13</v>
      </c>
    </row>
    <row r="213" spans="1:7" x14ac:dyDescent="0.3">
      <c r="A213" s="82" t="s">
        <v>449</v>
      </c>
      <c r="B213" s="83" t="s">
        <v>452</v>
      </c>
      <c r="C213" s="83" t="s">
        <v>47</v>
      </c>
      <c r="D213" s="91">
        <v>1623.6</v>
      </c>
      <c r="E213" s="91">
        <v>1804</v>
      </c>
      <c r="F213" s="91">
        <v>3608.1</v>
      </c>
      <c r="G213" s="84" t="s">
        <v>13</v>
      </c>
    </row>
    <row r="214" spans="1:7" x14ac:dyDescent="0.3">
      <c r="A214" s="82" t="s">
        <v>481</v>
      </c>
      <c r="B214" s="83" t="s">
        <v>480</v>
      </c>
      <c r="C214" s="83" t="s">
        <v>51</v>
      </c>
      <c r="D214" s="91">
        <v>1620</v>
      </c>
      <c r="E214" s="91">
        <v>1800</v>
      </c>
      <c r="F214" s="91">
        <v>3600.1</v>
      </c>
      <c r="G214" s="84" t="s">
        <v>22</v>
      </c>
    </row>
    <row r="215" spans="1:7" x14ac:dyDescent="0.3">
      <c r="A215" s="82" t="s">
        <v>390</v>
      </c>
      <c r="B215" s="83" t="s">
        <v>392</v>
      </c>
      <c r="C215" s="83" t="s">
        <v>37</v>
      </c>
      <c r="D215" s="91">
        <v>1615.5</v>
      </c>
      <c r="E215" s="91">
        <v>1795</v>
      </c>
      <c r="F215" s="91">
        <v>3590.1</v>
      </c>
      <c r="G215" s="84" t="s">
        <v>29</v>
      </c>
    </row>
    <row r="216" spans="1:7" x14ac:dyDescent="0.3">
      <c r="A216" s="82" t="s">
        <v>303</v>
      </c>
      <c r="B216" s="83" t="s">
        <v>305</v>
      </c>
      <c r="C216" s="83" t="s">
        <v>51</v>
      </c>
      <c r="D216" s="91">
        <v>1607.4</v>
      </c>
      <c r="E216" s="91">
        <v>1786</v>
      </c>
      <c r="F216" s="91">
        <v>3572.1</v>
      </c>
      <c r="G216" s="84" t="s">
        <v>22</v>
      </c>
    </row>
    <row r="217" spans="1:7" x14ac:dyDescent="0.3">
      <c r="A217" s="82" t="s">
        <v>105</v>
      </c>
      <c r="B217" s="83" t="s">
        <v>106</v>
      </c>
      <c r="C217" s="83" t="s">
        <v>47</v>
      </c>
      <c r="D217" s="91">
        <v>1601.1</v>
      </c>
      <c r="E217" s="91">
        <v>1779</v>
      </c>
      <c r="F217" s="91">
        <v>3558.1</v>
      </c>
      <c r="G217" s="84" t="s">
        <v>18</v>
      </c>
    </row>
    <row r="218" spans="1:7" x14ac:dyDescent="0.3">
      <c r="A218" s="82" t="s">
        <v>185</v>
      </c>
      <c r="B218" s="83" t="s">
        <v>186</v>
      </c>
      <c r="C218" s="83" t="s">
        <v>83</v>
      </c>
      <c r="D218" s="91">
        <v>1598.4</v>
      </c>
      <c r="E218" s="91">
        <v>1776</v>
      </c>
      <c r="F218" s="91">
        <v>3552.1</v>
      </c>
      <c r="G218" s="84" t="s">
        <v>29</v>
      </c>
    </row>
    <row r="219" spans="1:7" x14ac:dyDescent="0.3">
      <c r="A219" s="82" t="s">
        <v>290</v>
      </c>
      <c r="B219" s="83" t="s">
        <v>291</v>
      </c>
      <c r="C219" s="83" t="s">
        <v>47</v>
      </c>
      <c r="D219" s="91">
        <v>1585.8</v>
      </c>
      <c r="E219" s="91">
        <v>1762</v>
      </c>
      <c r="F219" s="91">
        <v>3524.1</v>
      </c>
      <c r="G219" s="84" t="s">
        <v>22</v>
      </c>
    </row>
    <row r="220" spans="1:7" x14ac:dyDescent="0.3">
      <c r="A220" s="82" t="s">
        <v>79</v>
      </c>
      <c r="B220" s="83" t="s">
        <v>80</v>
      </c>
      <c r="C220" s="83" t="s">
        <v>51</v>
      </c>
      <c r="D220" s="91">
        <v>1557.9</v>
      </c>
      <c r="E220" s="91">
        <v>1731</v>
      </c>
      <c r="F220" s="91">
        <v>3462.1</v>
      </c>
      <c r="G220" s="84" t="s">
        <v>13</v>
      </c>
    </row>
    <row r="221" spans="1:7" x14ac:dyDescent="0.3">
      <c r="A221" s="82" t="s">
        <v>281</v>
      </c>
      <c r="B221" s="83" t="s">
        <v>282</v>
      </c>
      <c r="C221" s="83" t="s">
        <v>47</v>
      </c>
      <c r="D221" s="91">
        <v>1554.3</v>
      </c>
      <c r="E221" s="91">
        <v>1727</v>
      </c>
      <c r="F221" s="91">
        <v>3454.1</v>
      </c>
      <c r="G221" s="84" t="s">
        <v>29</v>
      </c>
    </row>
    <row r="222" spans="1:7" x14ac:dyDescent="0.3">
      <c r="A222" s="82" t="s">
        <v>527</v>
      </c>
      <c r="B222" s="83" t="s">
        <v>528</v>
      </c>
      <c r="C222" s="83" t="s">
        <v>109</v>
      </c>
      <c r="D222" s="91">
        <v>1552.5</v>
      </c>
      <c r="E222" s="91">
        <v>1725</v>
      </c>
      <c r="F222" s="91">
        <v>3450.1</v>
      </c>
      <c r="G222" s="84" t="s">
        <v>13</v>
      </c>
    </row>
    <row r="223" spans="1:7" x14ac:dyDescent="0.3">
      <c r="A223" s="82" t="s">
        <v>203</v>
      </c>
      <c r="B223" s="83" t="s">
        <v>204</v>
      </c>
      <c r="C223" s="83" t="s">
        <v>37</v>
      </c>
      <c r="D223" s="91">
        <v>1544.4</v>
      </c>
      <c r="E223" s="91">
        <v>1716</v>
      </c>
      <c r="F223" s="91">
        <v>3432.1</v>
      </c>
      <c r="G223" s="84" t="s">
        <v>29</v>
      </c>
    </row>
    <row r="224" spans="1:7" x14ac:dyDescent="0.3">
      <c r="A224" s="82" t="s">
        <v>509</v>
      </c>
      <c r="B224" s="83" t="s">
        <v>511</v>
      </c>
      <c r="C224" s="83" t="s">
        <v>37</v>
      </c>
      <c r="D224" s="91">
        <v>1539.9</v>
      </c>
      <c r="E224" s="91">
        <v>1711</v>
      </c>
      <c r="F224" s="91">
        <v>3422.1</v>
      </c>
      <c r="G224" s="84" t="s">
        <v>22</v>
      </c>
    </row>
    <row r="225" spans="1:7" x14ac:dyDescent="0.3">
      <c r="A225" s="82" t="s">
        <v>88</v>
      </c>
      <c r="B225" s="83" t="s">
        <v>89</v>
      </c>
      <c r="C225" s="83" t="s">
        <v>37</v>
      </c>
      <c r="D225" s="91">
        <v>1511.1</v>
      </c>
      <c r="E225" s="91">
        <v>1679</v>
      </c>
      <c r="F225" s="91">
        <v>3358.1</v>
      </c>
      <c r="G225" s="84" t="s">
        <v>13</v>
      </c>
    </row>
    <row r="226" spans="1:7" x14ac:dyDescent="0.3">
      <c r="A226" s="82" t="s">
        <v>463</v>
      </c>
      <c r="B226" s="83" t="s">
        <v>464</v>
      </c>
      <c r="C226" s="83" t="s">
        <v>33</v>
      </c>
      <c r="D226" s="91">
        <v>1507.5</v>
      </c>
      <c r="E226" s="91">
        <v>1675</v>
      </c>
      <c r="F226" s="91">
        <v>3350.1</v>
      </c>
      <c r="G226" s="84" t="s">
        <v>18</v>
      </c>
    </row>
    <row r="227" spans="1:7" x14ac:dyDescent="0.3">
      <c r="A227" s="82" t="s">
        <v>279</v>
      </c>
      <c r="B227" s="83" t="s">
        <v>280</v>
      </c>
      <c r="C227" s="83" t="s">
        <v>47</v>
      </c>
      <c r="D227" s="91">
        <v>1503.9</v>
      </c>
      <c r="E227" s="91">
        <v>1671</v>
      </c>
      <c r="F227" s="91">
        <v>3342.1</v>
      </c>
      <c r="G227" s="84" t="s">
        <v>13</v>
      </c>
    </row>
    <row r="228" spans="1:7" x14ac:dyDescent="0.3">
      <c r="A228" s="82" t="s">
        <v>67</v>
      </c>
      <c r="B228" s="83" t="s">
        <v>66</v>
      </c>
      <c r="C228" s="83" t="s">
        <v>37</v>
      </c>
      <c r="D228" s="91">
        <v>1503</v>
      </c>
      <c r="E228" s="91">
        <v>1670</v>
      </c>
      <c r="F228" s="91">
        <v>3340.1</v>
      </c>
      <c r="G228" s="84" t="s">
        <v>29</v>
      </c>
    </row>
    <row r="229" spans="1:7" x14ac:dyDescent="0.3">
      <c r="A229" s="82" t="s">
        <v>319</v>
      </c>
      <c r="B229" s="83" t="s">
        <v>320</v>
      </c>
      <c r="C229" s="83" t="s">
        <v>37</v>
      </c>
      <c r="D229" s="91">
        <v>1499.4</v>
      </c>
      <c r="E229" s="91">
        <v>1666</v>
      </c>
      <c r="F229" s="91">
        <v>3332.1</v>
      </c>
      <c r="G229" s="84" t="s">
        <v>29</v>
      </c>
    </row>
    <row r="230" spans="1:7" x14ac:dyDescent="0.3">
      <c r="A230" s="82" t="s">
        <v>445</v>
      </c>
      <c r="B230" s="83" t="s">
        <v>446</v>
      </c>
      <c r="C230" s="83" t="s">
        <v>51</v>
      </c>
      <c r="D230" s="91">
        <v>1490.4</v>
      </c>
      <c r="E230" s="91">
        <v>1656</v>
      </c>
      <c r="F230" s="91">
        <v>3312.1</v>
      </c>
      <c r="G230" s="84" t="s">
        <v>29</v>
      </c>
    </row>
    <row r="231" spans="1:7" x14ac:dyDescent="0.3">
      <c r="A231" s="82" t="s">
        <v>500</v>
      </c>
      <c r="B231" s="83" t="s">
        <v>383</v>
      </c>
      <c r="C231" s="83" t="s">
        <v>17</v>
      </c>
      <c r="D231" s="91">
        <v>1489.5</v>
      </c>
      <c r="E231" s="91">
        <v>1655</v>
      </c>
      <c r="F231" s="91">
        <v>3310.1</v>
      </c>
      <c r="G231" s="84" t="s">
        <v>18</v>
      </c>
    </row>
    <row r="232" spans="1:7" x14ac:dyDescent="0.3">
      <c r="A232" s="82" t="s">
        <v>205</v>
      </c>
      <c r="B232" s="83" t="s">
        <v>208</v>
      </c>
      <c r="C232" s="83" t="s">
        <v>37</v>
      </c>
      <c r="D232" s="91">
        <v>1484.1</v>
      </c>
      <c r="E232" s="91">
        <v>1649</v>
      </c>
      <c r="F232" s="91">
        <v>3298.1</v>
      </c>
      <c r="G232" s="84" t="s">
        <v>13</v>
      </c>
    </row>
    <row r="233" spans="1:7" x14ac:dyDescent="0.3">
      <c r="A233" s="82" t="s">
        <v>406</v>
      </c>
      <c r="B233" s="83" t="s">
        <v>407</v>
      </c>
      <c r="C233" s="83" t="s">
        <v>17</v>
      </c>
      <c r="D233" s="91">
        <v>1480.5</v>
      </c>
      <c r="E233" s="91">
        <v>1645</v>
      </c>
      <c r="F233" s="91">
        <v>3290.1</v>
      </c>
      <c r="G233" s="84" t="s">
        <v>22</v>
      </c>
    </row>
    <row r="234" spans="1:7" x14ac:dyDescent="0.3">
      <c r="A234" s="82" t="s">
        <v>455</v>
      </c>
      <c r="B234" s="83" t="s">
        <v>456</v>
      </c>
      <c r="C234" s="83" t="s">
        <v>155</v>
      </c>
      <c r="D234" s="91">
        <v>1478.7</v>
      </c>
      <c r="E234" s="91">
        <v>1643</v>
      </c>
      <c r="F234" s="91">
        <v>3286.1</v>
      </c>
      <c r="G234" s="84" t="s">
        <v>13</v>
      </c>
    </row>
    <row r="235" spans="1:7" x14ac:dyDescent="0.3">
      <c r="A235" s="82" t="s">
        <v>150</v>
      </c>
      <c r="B235" s="83" t="s">
        <v>149</v>
      </c>
      <c r="C235" s="83" t="s">
        <v>51</v>
      </c>
      <c r="D235" s="91">
        <v>1473.3</v>
      </c>
      <c r="E235" s="91">
        <v>1637</v>
      </c>
      <c r="F235" s="91">
        <v>3274.1</v>
      </c>
      <c r="G235" s="84" t="s">
        <v>13</v>
      </c>
    </row>
    <row r="236" spans="1:7" x14ac:dyDescent="0.3">
      <c r="A236" s="82" t="s">
        <v>287</v>
      </c>
      <c r="B236" s="83" t="s">
        <v>285</v>
      </c>
      <c r="C236" s="83" t="s">
        <v>51</v>
      </c>
      <c r="D236" s="91">
        <v>1465.2</v>
      </c>
      <c r="E236" s="91">
        <v>1628</v>
      </c>
      <c r="F236" s="91">
        <v>3256.1</v>
      </c>
      <c r="G236" s="84" t="s">
        <v>29</v>
      </c>
    </row>
    <row r="237" spans="1:7" x14ac:dyDescent="0.3">
      <c r="A237" s="82" t="s">
        <v>477</v>
      </c>
      <c r="B237" s="83" t="s">
        <v>478</v>
      </c>
      <c r="C237" s="83" t="s">
        <v>155</v>
      </c>
      <c r="D237" s="91">
        <v>1465.2</v>
      </c>
      <c r="E237" s="91">
        <v>1628</v>
      </c>
      <c r="F237" s="91">
        <v>3256.1</v>
      </c>
      <c r="G237" s="84" t="s">
        <v>29</v>
      </c>
    </row>
    <row r="238" spans="1:7" x14ac:dyDescent="0.3">
      <c r="A238" s="82" t="s">
        <v>316</v>
      </c>
      <c r="B238" s="83" t="s">
        <v>315</v>
      </c>
      <c r="C238" s="83" t="s">
        <v>17</v>
      </c>
      <c r="D238" s="91">
        <v>1456.2</v>
      </c>
      <c r="E238" s="91">
        <v>1618</v>
      </c>
      <c r="F238" s="91">
        <v>3236.1</v>
      </c>
      <c r="G238" s="84" t="s">
        <v>22</v>
      </c>
    </row>
    <row r="239" spans="1:7" x14ac:dyDescent="0.3">
      <c r="A239" s="82" t="s">
        <v>58</v>
      </c>
      <c r="B239" s="83" t="s">
        <v>59</v>
      </c>
      <c r="C239" s="83" t="s">
        <v>51</v>
      </c>
      <c r="D239" s="91">
        <v>1447.2</v>
      </c>
      <c r="E239" s="91">
        <v>1608</v>
      </c>
      <c r="F239" s="91">
        <v>3216.1</v>
      </c>
      <c r="G239" s="84" t="s">
        <v>13</v>
      </c>
    </row>
    <row r="240" spans="1:7" x14ac:dyDescent="0.3">
      <c r="A240" s="82" t="s">
        <v>92</v>
      </c>
      <c r="B240" s="83" t="s">
        <v>93</v>
      </c>
      <c r="C240" s="83" t="s">
        <v>37</v>
      </c>
      <c r="D240" s="91">
        <v>1444.5</v>
      </c>
      <c r="E240" s="91">
        <v>1605</v>
      </c>
      <c r="F240" s="91">
        <v>3210.1</v>
      </c>
      <c r="G240" s="84" t="s">
        <v>18</v>
      </c>
    </row>
    <row r="241" spans="1:7" x14ac:dyDescent="0.3">
      <c r="A241" s="82" t="s">
        <v>327</v>
      </c>
      <c r="B241" s="83" t="s">
        <v>328</v>
      </c>
      <c r="C241" s="83" t="s">
        <v>51</v>
      </c>
      <c r="D241" s="91">
        <v>1441.8</v>
      </c>
      <c r="E241" s="91">
        <v>1602</v>
      </c>
      <c r="F241" s="91">
        <v>3204.1</v>
      </c>
      <c r="G241" s="84" t="s">
        <v>18</v>
      </c>
    </row>
    <row r="242" spans="1:7" x14ac:dyDescent="0.3">
      <c r="A242" s="82" t="s">
        <v>151</v>
      </c>
      <c r="B242" s="83" t="s">
        <v>152</v>
      </c>
      <c r="C242" s="83" t="s">
        <v>17</v>
      </c>
      <c r="D242" s="91">
        <v>1437.3</v>
      </c>
      <c r="E242" s="91">
        <v>1597</v>
      </c>
      <c r="F242" s="91">
        <v>3194.1</v>
      </c>
      <c r="G242" s="84" t="s">
        <v>18</v>
      </c>
    </row>
    <row r="243" spans="1:7" x14ac:dyDescent="0.3">
      <c r="A243" s="82" t="s">
        <v>191</v>
      </c>
      <c r="B243" s="83" t="s">
        <v>192</v>
      </c>
      <c r="C243" s="83" t="s">
        <v>47</v>
      </c>
      <c r="D243" s="91">
        <v>1422.9</v>
      </c>
      <c r="E243" s="91">
        <v>1581</v>
      </c>
      <c r="F243" s="91">
        <v>3162.1</v>
      </c>
      <c r="G243" s="84" t="s">
        <v>18</v>
      </c>
    </row>
    <row r="244" spans="1:7" x14ac:dyDescent="0.3">
      <c r="A244" s="82" t="s">
        <v>159</v>
      </c>
      <c r="B244" s="83" t="s">
        <v>160</v>
      </c>
      <c r="C244" s="83" t="s">
        <v>17</v>
      </c>
      <c r="D244" s="91">
        <v>1410.3</v>
      </c>
      <c r="E244" s="91">
        <v>1567</v>
      </c>
      <c r="F244" s="91">
        <v>3134.1</v>
      </c>
      <c r="G244" s="84" t="s">
        <v>29</v>
      </c>
    </row>
    <row r="245" spans="1:7" x14ac:dyDescent="0.3">
      <c r="A245" s="82" t="s">
        <v>174</v>
      </c>
      <c r="B245" s="83" t="s">
        <v>175</v>
      </c>
      <c r="C245" s="83" t="s">
        <v>51</v>
      </c>
      <c r="D245" s="91">
        <v>1408.5</v>
      </c>
      <c r="E245" s="91">
        <v>1565</v>
      </c>
      <c r="F245" s="91">
        <v>3130.1</v>
      </c>
      <c r="G245" s="84" t="s">
        <v>22</v>
      </c>
    </row>
    <row r="246" spans="1:7" x14ac:dyDescent="0.3">
      <c r="A246" s="82" t="s">
        <v>417</v>
      </c>
      <c r="B246" s="83" t="s">
        <v>418</v>
      </c>
      <c r="C246" s="83" t="s">
        <v>51</v>
      </c>
      <c r="D246" s="91">
        <v>1398.6</v>
      </c>
      <c r="E246" s="91">
        <v>1554</v>
      </c>
      <c r="F246" s="91">
        <v>3108.1</v>
      </c>
      <c r="G246" s="84" t="s">
        <v>18</v>
      </c>
    </row>
    <row r="247" spans="1:7" x14ac:dyDescent="0.3">
      <c r="A247" s="82" t="s">
        <v>142</v>
      </c>
      <c r="B247" s="83" t="s">
        <v>143</v>
      </c>
      <c r="C247" s="83" t="s">
        <v>51</v>
      </c>
      <c r="D247" s="91">
        <v>1383.3</v>
      </c>
      <c r="E247" s="91">
        <v>1537</v>
      </c>
      <c r="F247" s="91">
        <v>3074.1</v>
      </c>
      <c r="G247" s="84" t="s">
        <v>18</v>
      </c>
    </row>
    <row r="248" spans="1:7" x14ac:dyDescent="0.3">
      <c r="A248" s="82" t="s">
        <v>144</v>
      </c>
      <c r="B248" s="83" t="s">
        <v>145</v>
      </c>
      <c r="C248" s="83" t="s">
        <v>17</v>
      </c>
      <c r="D248" s="91">
        <v>1358.1</v>
      </c>
      <c r="E248" s="91">
        <v>1509</v>
      </c>
      <c r="F248" s="91">
        <v>3018.1</v>
      </c>
      <c r="G248" s="84" t="s">
        <v>13</v>
      </c>
    </row>
    <row r="249" spans="1:7" x14ac:dyDescent="0.3">
      <c r="A249" s="82" t="s">
        <v>201</v>
      </c>
      <c r="B249" s="83" t="s">
        <v>202</v>
      </c>
      <c r="C249" s="83" t="s">
        <v>51</v>
      </c>
      <c r="D249" s="91">
        <v>1352.7</v>
      </c>
      <c r="E249" s="91">
        <v>1503</v>
      </c>
      <c r="F249" s="91">
        <v>3006.1</v>
      </c>
      <c r="G249" s="84" t="s">
        <v>22</v>
      </c>
    </row>
    <row r="250" spans="1:7" x14ac:dyDescent="0.3">
      <c r="A250" s="82" t="s">
        <v>430</v>
      </c>
      <c r="B250" s="83" t="s">
        <v>431</v>
      </c>
      <c r="C250" s="83" t="s">
        <v>51</v>
      </c>
      <c r="D250" s="91">
        <v>1333.8</v>
      </c>
      <c r="E250" s="91">
        <v>1482</v>
      </c>
      <c r="F250" s="91">
        <v>2964.1</v>
      </c>
      <c r="G250" s="84" t="s">
        <v>18</v>
      </c>
    </row>
    <row r="251" spans="1:7" x14ac:dyDescent="0.3">
      <c r="A251" s="82" t="s">
        <v>292</v>
      </c>
      <c r="B251" s="83" t="s">
        <v>294</v>
      </c>
      <c r="C251" s="83" t="s">
        <v>155</v>
      </c>
      <c r="D251" s="91">
        <v>1310.4000000000001</v>
      </c>
      <c r="E251" s="91">
        <v>1456</v>
      </c>
      <c r="F251" s="91">
        <v>2912.1</v>
      </c>
      <c r="G251" s="84" t="s">
        <v>29</v>
      </c>
    </row>
    <row r="252" spans="1:7" x14ac:dyDescent="0.3">
      <c r="A252" s="82" t="s">
        <v>139</v>
      </c>
      <c r="B252" s="83" t="s">
        <v>138</v>
      </c>
      <c r="C252" s="83" t="s">
        <v>37</v>
      </c>
      <c r="D252" s="91">
        <v>1309.5</v>
      </c>
      <c r="E252" s="91">
        <v>1455</v>
      </c>
      <c r="F252" s="91">
        <v>2910.1</v>
      </c>
      <c r="G252" s="84" t="s">
        <v>22</v>
      </c>
    </row>
    <row r="253" spans="1:7" x14ac:dyDescent="0.3">
      <c r="A253" s="82" t="s">
        <v>414</v>
      </c>
      <c r="B253" s="83" t="s">
        <v>413</v>
      </c>
      <c r="C253" s="83" t="s">
        <v>17</v>
      </c>
      <c r="D253" s="91">
        <v>1299.5999999999999</v>
      </c>
      <c r="E253" s="91">
        <v>1444</v>
      </c>
      <c r="F253" s="91">
        <v>2888.1</v>
      </c>
      <c r="G253" s="84" t="s">
        <v>22</v>
      </c>
    </row>
    <row r="254" spans="1:7" x14ac:dyDescent="0.3">
      <c r="A254" s="82" t="s">
        <v>453</v>
      </c>
      <c r="B254" s="83" t="s">
        <v>454</v>
      </c>
      <c r="C254" s="83" t="s">
        <v>51</v>
      </c>
      <c r="D254" s="91">
        <v>1291.5</v>
      </c>
      <c r="E254" s="91">
        <v>1435</v>
      </c>
      <c r="F254" s="91">
        <v>2870.1</v>
      </c>
      <c r="G254" s="84" t="s">
        <v>22</v>
      </c>
    </row>
    <row r="255" spans="1:7" x14ac:dyDescent="0.3">
      <c r="A255" s="82" t="s">
        <v>360</v>
      </c>
      <c r="B255" s="83" t="s">
        <v>361</v>
      </c>
      <c r="C255" s="83" t="s">
        <v>51</v>
      </c>
      <c r="D255" s="91">
        <v>1283.4000000000001</v>
      </c>
      <c r="E255" s="91">
        <v>1426</v>
      </c>
      <c r="F255" s="91">
        <v>2852.1</v>
      </c>
      <c r="G255" s="84" t="s">
        <v>29</v>
      </c>
    </row>
    <row r="256" spans="1:7" x14ac:dyDescent="0.3">
      <c r="A256" s="82" t="s">
        <v>500</v>
      </c>
      <c r="B256" s="83" t="s">
        <v>501</v>
      </c>
      <c r="C256" s="83" t="s">
        <v>17</v>
      </c>
      <c r="D256" s="91">
        <v>1275.3</v>
      </c>
      <c r="E256" s="91">
        <v>1417</v>
      </c>
      <c r="F256" s="91">
        <v>2834.1</v>
      </c>
      <c r="G256" s="84" t="s">
        <v>22</v>
      </c>
    </row>
    <row r="257" spans="1:7" x14ac:dyDescent="0.3">
      <c r="A257" s="82" t="s">
        <v>471</v>
      </c>
      <c r="B257" s="83" t="s">
        <v>472</v>
      </c>
      <c r="C257" s="83" t="s">
        <v>25</v>
      </c>
      <c r="D257" s="91">
        <v>1268.0999999999999</v>
      </c>
      <c r="E257" s="91">
        <v>1409</v>
      </c>
      <c r="F257" s="91">
        <v>2818.1</v>
      </c>
      <c r="G257" s="84" t="s">
        <v>18</v>
      </c>
    </row>
    <row r="258" spans="1:7" x14ac:dyDescent="0.3">
      <c r="A258" s="82" t="s">
        <v>53</v>
      </c>
      <c r="B258" s="83" t="s">
        <v>54</v>
      </c>
      <c r="C258" s="83" t="s">
        <v>51</v>
      </c>
      <c r="D258" s="91">
        <v>1266.3</v>
      </c>
      <c r="E258" s="91">
        <v>1407</v>
      </c>
      <c r="F258" s="91">
        <v>2814.1</v>
      </c>
      <c r="G258" s="84" t="s">
        <v>22</v>
      </c>
    </row>
    <row r="259" spans="1:7" x14ac:dyDescent="0.3">
      <c r="A259" s="82" t="s">
        <v>114</v>
      </c>
      <c r="B259" s="83" t="s">
        <v>115</v>
      </c>
      <c r="C259" s="83" t="s">
        <v>17</v>
      </c>
      <c r="D259" s="91">
        <v>1260</v>
      </c>
      <c r="E259" s="91">
        <v>1400</v>
      </c>
      <c r="F259" s="91">
        <v>2800.1</v>
      </c>
      <c r="G259" s="84" t="s">
        <v>29</v>
      </c>
    </row>
    <row r="260" spans="1:7" x14ac:dyDescent="0.3">
      <c r="A260" s="82" t="s">
        <v>45</v>
      </c>
      <c r="B260" s="83" t="s">
        <v>46</v>
      </c>
      <c r="C260" s="83" t="s">
        <v>47</v>
      </c>
      <c r="D260" s="91">
        <v>1259.0999999999999</v>
      </c>
      <c r="E260" s="91">
        <v>1399</v>
      </c>
      <c r="F260" s="91">
        <v>2798.1</v>
      </c>
      <c r="G260" s="84" t="s">
        <v>29</v>
      </c>
    </row>
    <row r="261" spans="1:7" x14ac:dyDescent="0.3">
      <c r="A261" s="82" t="s">
        <v>410</v>
      </c>
      <c r="B261" s="83" t="s">
        <v>411</v>
      </c>
      <c r="C261" s="83" t="s">
        <v>37</v>
      </c>
      <c r="D261" s="91">
        <v>1253.7</v>
      </c>
      <c r="E261" s="91">
        <v>1393</v>
      </c>
      <c r="F261" s="91">
        <v>2786.1</v>
      </c>
      <c r="G261" s="84" t="s">
        <v>22</v>
      </c>
    </row>
    <row r="262" spans="1:7" x14ac:dyDescent="0.3">
      <c r="A262" s="82" t="s">
        <v>274</v>
      </c>
      <c r="B262" s="83" t="s">
        <v>275</v>
      </c>
      <c r="C262" s="83" t="s">
        <v>37</v>
      </c>
      <c r="D262" s="91">
        <v>1247.4000000000001</v>
      </c>
      <c r="E262" s="91">
        <v>1386</v>
      </c>
      <c r="F262" s="91">
        <v>2772.1</v>
      </c>
      <c r="G262" s="84" t="s">
        <v>13</v>
      </c>
    </row>
    <row r="263" spans="1:7" x14ac:dyDescent="0.3">
      <c r="A263" s="82" t="s">
        <v>158</v>
      </c>
      <c r="B263" s="83" t="s">
        <v>157</v>
      </c>
      <c r="C263" s="83" t="s">
        <v>155</v>
      </c>
      <c r="D263" s="91">
        <v>1241.0999999999999</v>
      </c>
      <c r="E263" s="91">
        <v>1379</v>
      </c>
      <c r="F263" s="91">
        <v>2758.1</v>
      </c>
      <c r="G263" s="84" t="s">
        <v>18</v>
      </c>
    </row>
    <row r="264" spans="1:7" x14ac:dyDescent="0.3">
      <c r="A264" s="82" t="s">
        <v>23</v>
      </c>
      <c r="B264" s="83" t="s">
        <v>24</v>
      </c>
      <c r="C264" s="83" t="s">
        <v>25</v>
      </c>
      <c r="D264" s="91">
        <v>1236.5999999999999</v>
      </c>
      <c r="E264" s="91">
        <v>1374</v>
      </c>
      <c r="F264" s="91">
        <v>2748.1</v>
      </c>
      <c r="G264" s="84" t="s">
        <v>22</v>
      </c>
    </row>
    <row r="265" spans="1:7" x14ac:dyDescent="0.3">
      <c r="A265" s="82" t="s">
        <v>169</v>
      </c>
      <c r="B265" s="83" t="s">
        <v>170</v>
      </c>
      <c r="C265" s="83" t="s">
        <v>51</v>
      </c>
      <c r="D265" s="91">
        <v>1236.5999999999999</v>
      </c>
      <c r="E265" s="91">
        <v>1374</v>
      </c>
      <c r="F265" s="91">
        <v>2748.1</v>
      </c>
      <c r="G265" s="84" t="s">
        <v>13</v>
      </c>
    </row>
    <row r="266" spans="1:7" x14ac:dyDescent="0.3">
      <c r="A266" s="82" t="s">
        <v>20</v>
      </c>
      <c r="B266" s="83" t="s">
        <v>21</v>
      </c>
      <c r="C266" s="83" t="s">
        <v>17</v>
      </c>
      <c r="D266" s="91">
        <v>1231.2</v>
      </c>
      <c r="E266" s="91">
        <v>1368</v>
      </c>
      <c r="F266" s="91">
        <v>2736.1</v>
      </c>
      <c r="G266" s="84" t="s">
        <v>22</v>
      </c>
    </row>
    <row r="267" spans="1:7" x14ac:dyDescent="0.3">
      <c r="A267" s="82" t="s">
        <v>239</v>
      </c>
      <c r="B267" s="83" t="s">
        <v>240</v>
      </c>
      <c r="C267" s="83" t="s">
        <v>51</v>
      </c>
      <c r="D267" s="91">
        <v>1210.5</v>
      </c>
      <c r="E267" s="91">
        <v>1345</v>
      </c>
      <c r="F267" s="91">
        <v>2690.1</v>
      </c>
      <c r="G267" s="84" t="s">
        <v>18</v>
      </c>
    </row>
    <row r="268" spans="1:7" x14ac:dyDescent="0.3">
      <c r="A268" s="82" t="s">
        <v>397</v>
      </c>
      <c r="B268" s="83" t="s">
        <v>398</v>
      </c>
      <c r="C268" s="83" t="s">
        <v>155</v>
      </c>
      <c r="D268" s="91">
        <v>1204.2</v>
      </c>
      <c r="E268" s="91">
        <v>1338</v>
      </c>
      <c r="F268" s="91">
        <v>2676.1</v>
      </c>
      <c r="G268" s="84" t="s">
        <v>29</v>
      </c>
    </row>
    <row r="269" spans="1:7" x14ac:dyDescent="0.3">
      <c r="A269" s="82" t="s">
        <v>189</v>
      </c>
      <c r="B269" s="83" t="s">
        <v>190</v>
      </c>
      <c r="C269" s="83" t="s">
        <v>17</v>
      </c>
      <c r="D269" s="91">
        <v>1194.3</v>
      </c>
      <c r="E269" s="91">
        <v>1327</v>
      </c>
      <c r="F269" s="91">
        <v>2654.1</v>
      </c>
      <c r="G269" s="84" t="s">
        <v>18</v>
      </c>
    </row>
    <row r="270" spans="1:7" x14ac:dyDescent="0.3">
      <c r="A270" s="82" t="s">
        <v>72</v>
      </c>
      <c r="B270" s="83" t="s">
        <v>73</v>
      </c>
      <c r="C270" s="83" t="s">
        <v>51</v>
      </c>
      <c r="D270" s="91">
        <v>1174.5</v>
      </c>
      <c r="E270" s="91">
        <v>1305</v>
      </c>
      <c r="F270" s="91">
        <v>2610.1</v>
      </c>
      <c r="G270" s="84" t="s">
        <v>29</v>
      </c>
    </row>
    <row r="271" spans="1:7" x14ac:dyDescent="0.3">
      <c r="A271" s="82" t="s">
        <v>139</v>
      </c>
      <c r="B271" s="83" t="s">
        <v>141</v>
      </c>
      <c r="C271" s="83" t="s">
        <v>83</v>
      </c>
      <c r="D271" s="91">
        <v>1160.0999999999999</v>
      </c>
      <c r="E271" s="91">
        <v>1289</v>
      </c>
      <c r="F271" s="91">
        <v>2578.1</v>
      </c>
      <c r="G271" s="84" t="s">
        <v>13</v>
      </c>
    </row>
    <row r="272" spans="1:7" x14ac:dyDescent="0.3">
      <c r="A272" s="82" t="s">
        <v>486</v>
      </c>
      <c r="B272" s="83" t="s">
        <v>487</v>
      </c>
      <c r="C272" s="83" t="s">
        <v>51</v>
      </c>
      <c r="D272" s="91">
        <v>1147.5</v>
      </c>
      <c r="E272" s="91">
        <v>1275</v>
      </c>
      <c r="F272" s="91">
        <v>2550.1</v>
      </c>
      <c r="G272" s="84" t="s">
        <v>29</v>
      </c>
    </row>
    <row r="273" spans="1:7" x14ac:dyDescent="0.3">
      <c r="A273" s="82" t="s">
        <v>270</v>
      </c>
      <c r="B273" s="83" t="s">
        <v>271</v>
      </c>
      <c r="C273" s="83" t="s">
        <v>51</v>
      </c>
      <c r="D273" s="91">
        <v>1125.9000000000001</v>
      </c>
      <c r="E273" s="91">
        <v>1251</v>
      </c>
      <c r="F273" s="91">
        <v>2502.1</v>
      </c>
      <c r="G273" s="84" t="s">
        <v>29</v>
      </c>
    </row>
    <row r="274" spans="1:7" x14ac:dyDescent="0.3">
      <c r="A274" s="82" t="s">
        <v>415</v>
      </c>
      <c r="B274" s="83" t="s">
        <v>416</v>
      </c>
      <c r="C274" s="83" t="s">
        <v>51</v>
      </c>
      <c r="D274" s="91">
        <v>1121.4000000000001</v>
      </c>
      <c r="E274" s="91">
        <v>1246</v>
      </c>
      <c r="F274" s="91">
        <v>2492.1</v>
      </c>
      <c r="G274" s="84" t="s">
        <v>29</v>
      </c>
    </row>
    <row r="275" spans="1:7" x14ac:dyDescent="0.3">
      <c r="A275" s="82" t="s">
        <v>94</v>
      </c>
      <c r="B275" s="83" t="s">
        <v>95</v>
      </c>
      <c r="C275" s="83" t="s">
        <v>33</v>
      </c>
      <c r="D275" s="91">
        <v>1106.0999999999999</v>
      </c>
      <c r="E275" s="91">
        <v>1229</v>
      </c>
      <c r="F275" s="91">
        <v>2458.1</v>
      </c>
      <c r="G275" s="84" t="s">
        <v>13</v>
      </c>
    </row>
    <row r="276" spans="1:7" x14ac:dyDescent="0.3">
      <c r="A276" s="82" t="s">
        <v>336</v>
      </c>
      <c r="B276" s="83" t="s">
        <v>337</v>
      </c>
      <c r="C276" s="83" t="s">
        <v>155</v>
      </c>
      <c r="D276" s="91">
        <v>1095.3</v>
      </c>
      <c r="E276" s="91">
        <v>1217</v>
      </c>
      <c r="F276" s="91">
        <v>2434.1</v>
      </c>
      <c r="G276" s="84" t="s">
        <v>22</v>
      </c>
    </row>
    <row r="277" spans="1:7" x14ac:dyDescent="0.3">
      <c r="A277" s="82" t="s">
        <v>340</v>
      </c>
      <c r="B277" s="83" t="s">
        <v>341</v>
      </c>
      <c r="C277" s="83" t="s">
        <v>155</v>
      </c>
      <c r="D277" s="91">
        <v>1095.3</v>
      </c>
      <c r="E277" s="91">
        <v>1217</v>
      </c>
      <c r="F277" s="91">
        <v>2434.1</v>
      </c>
      <c r="G277" s="84" t="s">
        <v>22</v>
      </c>
    </row>
    <row r="278" spans="1:7" x14ac:dyDescent="0.3">
      <c r="A278" s="82" t="s">
        <v>176</v>
      </c>
      <c r="B278" s="83" t="s">
        <v>177</v>
      </c>
      <c r="C278" s="83" t="s">
        <v>51</v>
      </c>
      <c r="D278" s="91">
        <v>1089</v>
      </c>
      <c r="E278" s="91">
        <v>1210</v>
      </c>
      <c r="F278" s="91">
        <v>2420.1</v>
      </c>
      <c r="G278" s="84" t="s">
        <v>29</v>
      </c>
    </row>
    <row r="279" spans="1:7" x14ac:dyDescent="0.3">
      <c r="A279" s="82" t="s">
        <v>223</v>
      </c>
      <c r="B279" s="83" t="s">
        <v>224</v>
      </c>
      <c r="C279" s="83" t="s">
        <v>51</v>
      </c>
      <c r="D279" s="91">
        <v>1053.9000000000001</v>
      </c>
      <c r="E279" s="91">
        <v>1171</v>
      </c>
      <c r="F279" s="91">
        <v>2342.1</v>
      </c>
      <c r="G279" s="84" t="s">
        <v>13</v>
      </c>
    </row>
    <row r="280" spans="1:7" x14ac:dyDescent="0.3">
      <c r="A280" s="82" t="s">
        <v>272</v>
      </c>
      <c r="B280" s="83" t="s">
        <v>273</v>
      </c>
      <c r="C280" s="83" t="s">
        <v>37</v>
      </c>
      <c r="D280" s="91">
        <v>1053</v>
      </c>
      <c r="E280" s="91">
        <v>1170</v>
      </c>
      <c r="F280" s="91">
        <v>2340.1</v>
      </c>
      <c r="G280" s="84" t="s">
        <v>13</v>
      </c>
    </row>
    <row r="281" spans="1:7" x14ac:dyDescent="0.3">
      <c r="A281" s="82" t="s">
        <v>178</v>
      </c>
      <c r="B281" s="83" t="s">
        <v>179</v>
      </c>
      <c r="C281" s="83" t="s">
        <v>47</v>
      </c>
      <c r="D281" s="91">
        <v>1045.8</v>
      </c>
      <c r="E281" s="91">
        <v>1162</v>
      </c>
      <c r="F281" s="91">
        <v>2324.1</v>
      </c>
      <c r="G281" s="84" t="s">
        <v>29</v>
      </c>
    </row>
    <row r="282" spans="1:7" x14ac:dyDescent="0.3">
      <c r="A282" s="82" t="s">
        <v>507</v>
      </c>
      <c r="B282" s="83" t="s">
        <v>508</v>
      </c>
      <c r="C282" s="83" t="s">
        <v>33</v>
      </c>
      <c r="D282" s="91">
        <v>1044</v>
      </c>
      <c r="E282" s="91">
        <v>1160</v>
      </c>
      <c r="F282" s="91">
        <v>2320.1</v>
      </c>
      <c r="G282" s="84" t="s">
        <v>13</v>
      </c>
    </row>
    <row r="283" spans="1:7" x14ac:dyDescent="0.3">
      <c r="A283" s="82" t="s">
        <v>297</v>
      </c>
      <c r="B283" s="83" t="s">
        <v>298</v>
      </c>
      <c r="C283" s="83" t="s">
        <v>37</v>
      </c>
      <c r="D283" s="91">
        <v>1035.9000000000001</v>
      </c>
      <c r="E283" s="91">
        <v>1151</v>
      </c>
      <c r="F283" s="91">
        <v>2302.1</v>
      </c>
      <c r="G283" s="84" t="s">
        <v>18</v>
      </c>
    </row>
    <row r="284" spans="1:7" x14ac:dyDescent="0.3">
      <c r="A284" s="82" t="s">
        <v>39</v>
      </c>
      <c r="B284" s="83" t="s">
        <v>42</v>
      </c>
      <c r="C284" s="83" t="s">
        <v>17</v>
      </c>
      <c r="D284" s="91">
        <v>1026.9000000000001</v>
      </c>
      <c r="E284" s="91">
        <v>1141</v>
      </c>
      <c r="F284" s="91">
        <v>2282.1</v>
      </c>
      <c r="G284" s="84" t="s">
        <v>29</v>
      </c>
    </row>
    <row r="285" spans="1:7" x14ac:dyDescent="0.3">
      <c r="A285" s="82" t="s">
        <v>441</v>
      </c>
      <c r="B285" s="83" t="s">
        <v>442</v>
      </c>
      <c r="C285" s="83" t="s">
        <v>51</v>
      </c>
      <c r="D285" s="91">
        <v>1026.9000000000001</v>
      </c>
      <c r="E285" s="91">
        <v>1141</v>
      </c>
      <c r="F285" s="91">
        <v>2282.1</v>
      </c>
      <c r="G285" s="84" t="s">
        <v>13</v>
      </c>
    </row>
    <row r="286" spans="1:7" x14ac:dyDescent="0.3">
      <c r="A286" s="82" t="s">
        <v>36</v>
      </c>
      <c r="B286" s="83" t="s">
        <v>27</v>
      </c>
      <c r="C286" s="83" t="s">
        <v>37</v>
      </c>
      <c r="D286" s="91">
        <v>1019.7</v>
      </c>
      <c r="E286" s="91">
        <v>1133</v>
      </c>
      <c r="F286" s="91">
        <v>2266.1</v>
      </c>
      <c r="G286" s="84" t="s">
        <v>13</v>
      </c>
    </row>
    <row r="287" spans="1:7" x14ac:dyDescent="0.3">
      <c r="A287" s="82" t="s">
        <v>301</v>
      </c>
      <c r="B287" s="83" t="s">
        <v>302</v>
      </c>
      <c r="C287" s="83" t="s">
        <v>37</v>
      </c>
      <c r="D287" s="91">
        <v>1019.7</v>
      </c>
      <c r="E287" s="91">
        <v>1133</v>
      </c>
      <c r="F287" s="91">
        <v>2266.1</v>
      </c>
      <c r="G287" s="84" t="s">
        <v>22</v>
      </c>
    </row>
    <row r="288" spans="1:7" x14ac:dyDescent="0.3">
      <c r="A288" s="82" t="s">
        <v>408</v>
      </c>
      <c r="B288" s="83" t="s">
        <v>409</v>
      </c>
      <c r="C288" s="83" t="s">
        <v>37</v>
      </c>
      <c r="D288" s="91">
        <v>1017</v>
      </c>
      <c r="E288" s="91">
        <v>1130</v>
      </c>
      <c r="F288" s="91">
        <v>2260.1</v>
      </c>
      <c r="G288" s="84" t="s">
        <v>13</v>
      </c>
    </row>
    <row r="289" spans="1:7" x14ac:dyDescent="0.3">
      <c r="A289" s="82" t="s">
        <v>193</v>
      </c>
      <c r="B289" s="83" t="s">
        <v>194</v>
      </c>
      <c r="C289" s="83" t="s">
        <v>47</v>
      </c>
      <c r="D289" s="91">
        <v>1014.3</v>
      </c>
      <c r="E289" s="91">
        <v>1127</v>
      </c>
      <c r="F289" s="91">
        <v>2254.1</v>
      </c>
      <c r="G289" s="84" t="s">
        <v>29</v>
      </c>
    </row>
    <row r="290" spans="1:7" x14ac:dyDescent="0.3">
      <c r="A290" s="82" t="s">
        <v>214</v>
      </c>
      <c r="B290" s="83" t="s">
        <v>216</v>
      </c>
      <c r="C290" s="83" t="s">
        <v>25</v>
      </c>
      <c r="D290" s="91">
        <v>1010.7</v>
      </c>
      <c r="E290" s="91">
        <v>1123</v>
      </c>
      <c r="F290" s="91">
        <v>2246.1</v>
      </c>
      <c r="G290" s="84" t="s">
        <v>29</v>
      </c>
    </row>
    <row r="291" spans="1:7" x14ac:dyDescent="0.3">
      <c r="A291" s="82" t="s">
        <v>494</v>
      </c>
      <c r="B291" s="83" t="s">
        <v>495</v>
      </c>
      <c r="C291" s="83" t="s">
        <v>17</v>
      </c>
      <c r="D291" s="91">
        <v>1001.7</v>
      </c>
      <c r="E291" s="91">
        <v>1113</v>
      </c>
      <c r="F291" s="91">
        <v>2226.1</v>
      </c>
      <c r="G291" s="84" t="s">
        <v>29</v>
      </c>
    </row>
    <row r="292" spans="1:7" x14ac:dyDescent="0.3">
      <c r="A292" s="82" t="s">
        <v>437</v>
      </c>
      <c r="B292" s="83" t="s">
        <v>438</v>
      </c>
      <c r="C292" s="83" t="s">
        <v>25</v>
      </c>
      <c r="D292" s="91">
        <v>999.9</v>
      </c>
      <c r="E292" s="91">
        <v>1111</v>
      </c>
      <c r="F292" s="91">
        <v>2222.1</v>
      </c>
      <c r="G292" s="84" t="s">
        <v>29</v>
      </c>
    </row>
    <row r="293" spans="1:7" x14ac:dyDescent="0.3">
      <c r="A293" s="82" t="s">
        <v>434</v>
      </c>
      <c r="B293" s="83" t="s">
        <v>436</v>
      </c>
      <c r="C293" s="83" t="s">
        <v>17</v>
      </c>
      <c r="D293" s="91">
        <v>999</v>
      </c>
      <c r="E293" s="91">
        <v>1110</v>
      </c>
      <c r="F293" s="91">
        <v>2220.1</v>
      </c>
      <c r="G293" s="84" t="s">
        <v>29</v>
      </c>
    </row>
    <row r="294" spans="1:7" x14ac:dyDescent="0.3">
      <c r="A294" s="82" t="s">
        <v>77</v>
      </c>
      <c r="B294" s="83" t="s">
        <v>78</v>
      </c>
      <c r="C294" s="83" t="s">
        <v>51</v>
      </c>
      <c r="D294" s="91">
        <v>985.5</v>
      </c>
      <c r="E294" s="91">
        <v>1095</v>
      </c>
      <c r="F294" s="91">
        <v>2190.1</v>
      </c>
      <c r="G294" s="84" t="s">
        <v>18</v>
      </c>
    </row>
    <row r="295" spans="1:7" x14ac:dyDescent="0.3">
      <c r="A295" s="82" t="s">
        <v>163</v>
      </c>
      <c r="B295" s="83" t="s">
        <v>164</v>
      </c>
      <c r="C295" s="83" t="s">
        <v>37</v>
      </c>
      <c r="D295" s="91">
        <v>970.2</v>
      </c>
      <c r="E295" s="91">
        <v>1078</v>
      </c>
      <c r="F295" s="91">
        <v>2156.1</v>
      </c>
      <c r="G295" s="84" t="s">
        <v>13</v>
      </c>
    </row>
    <row r="296" spans="1:7" x14ac:dyDescent="0.3">
      <c r="A296" s="82" t="s">
        <v>447</v>
      </c>
      <c r="B296" s="83" t="s">
        <v>448</v>
      </c>
      <c r="C296" s="83" t="s">
        <v>98</v>
      </c>
      <c r="D296" s="91">
        <v>966.6</v>
      </c>
      <c r="E296" s="91">
        <v>1074</v>
      </c>
      <c r="F296" s="91">
        <v>2148.1</v>
      </c>
      <c r="G296" s="84" t="s">
        <v>13</v>
      </c>
    </row>
    <row r="297" spans="1:7" x14ac:dyDescent="0.3">
      <c r="A297" s="82" t="s">
        <v>514</v>
      </c>
      <c r="B297" s="83" t="s">
        <v>515</v>
      </c>
      <c r="C297" s="83" t="s">
        <v>155</v>
      </c>
      <c r="D297" s="91">
        <v>959.4</v>
      </c>
      <c r="E297" s="91">
        <v>1066</v>
      </c>
      <c r="F297" s="91">
        <v>2132.1</v>
      </c>
      <c r="G297" s="84" t="s">
        <v>22</v>
      </c>
    </row>
    <row r="298" spans="1:7" x14ac:dyDescent="0.3">
      <c r="A298" s="82" t="s">
        <v>384</v>
      </c>
      <c r="B298" s="83" t="s">
        <v>385</v>
      </c>
      <c r="C298" s="83" t="s">
        <v>83</v>
      </c>
      <c r="D298" s="91">
        <v>955.8</v>
      </c>
      <c r="E298" s="91">
        <v>1062</v>
      </c>
      <c r="F298" s="91">
        <v>2124.1</v>
      </c>
      <c r="G298" s="84" t="s">
        <v>29</v>
      </c>
    </row>
    <row r="299" spans="1:7" x14ac:dyDescent="0.3">
      <c r="A299" s="82" t="s">
        <v>254</v>
      </c>
      <c r="B299" s="83" t="s">
        <v>255</v>
      </c>
      <c r="C299" s="83" t="s">
        <v>83</v>
      </c>
      <c r="D299" s="91">
        <v>953.1</v>
      </c>
      <c r="E299" s="91">
        <v>1059</v>
      </c>
      <c r="F299" s="91">
        <v>2118.1</v>
      </c>
      <c r="G299" s="84" t="s">
        <v>29</v>
      </c>
    </row>
    <row r="300" spans="1:7" x14ac:dyDescent="0.3">
      <c r="A300" s="82" t="s">
        <v>313</v>
      </c>
      <c r="B300" s="83" t="s">
        <v>315</v>
      </c>
      <c r="C300" s="83" t="s">
        <v>83</v>
      </c>
      <c r="D300" s="91">
        <v>948.6</v>
      </c>
      <c r="E300" s="91">
        <v>1054</v>
      </c>
      <c r="F300" s="91">
        <v>2108.1</v>
      </c>
      <c r="G300" s="84" t="s">
        <v>13</v>
      </c>
    </row>
    <row r="301" spans="1:7" x14ac:dyDescent="0.3">
      <c r="A301" s="82" t="s">
        <v>241</v>
      </c>
      <c r="B301" s="83" t="s">
        <v>242</v>
      </c>
      <c r="C301" s="83" t="s">
        <v>98</v>
      </c>
      <c r="D301" s="91">
        <v>947.7</v>
      </c>
      <c r="E301" s="91">
        <v>1053</v>
      </c>
      <c r="F301" s="91">
        <v>2106.1</v>
      </c>
      <c r="G301" s="84" t="s">
        <v>29</v>
      </c>
    </row>
    <row r="302" spans="1:7" x14ac:dyDescent="0.3">
      <c r="A302" s="82" t="s">
        <v>81</v>
      </c>
      <c r="B302" s="83" t="s">
        <v>82</v>
      </c>
      <c r="C302" s="83" t="s">
        <v>83</v>
      </c>
      <c r="D302" s="91">
        <v>946.8</v>
      </c>
      <c r="E302" s="91">
        <v>1052</v>
      </c>
      <c r="F302" s="91">
        <v>2104.1</v>
      </c>
      <c r="G302" s="84" t="s">
        <v>18</v>
      </c>
    </row>
    <row r="303" spans="1:7" x14ac:dyDescent="0.3">
      <c r="A303" s="82" t="s">
        <v>277</v>
      </c>
      <c r="B303" s="83" t="s">
        <v>278</v>
      </c>
      <c r="C303" s="83" t="s">
        <v>37</v>
      </c>
      <c r="D303" s="91">
        <v>933.3</v>
      </c>
      <c r="E303" s="91">
        <v>1037</v>
      </c>
      <c r="F303" s="91">
        <v>2074.1</v>
      </c>
      <c r="G303" s="84" t="s">
        <v>13</v>
      </c>
    </row>
    <row r="304" spans="1:7" x14ac:dyDescent="0.3">
      <c r="A304" s="82" t="s">
        <v>516</v>
      </c>
      <c r="B304" s="83" t="s">
        <v>517</v>
      </c>
      <c r="C304" s="83" t="s">
        <v>17</v>
      </c>
      <c r="D304" s="91">
        <v>927.9</v>
      </c>
      <c r="E304" s="91">
        <v>1031</v>
      </c>
      <c r="F304" s="91">
        <v>2062.1</v>
      </c>
      <c r="G304" s="84" t="s">
        <v>22</v>
      </c>
    </row>
    <row r="305" spans="1:7" x14ac:dyDescent="0.3">
      <c r="A305" s="82" t="s">
        <v>524</v>
      </c>
      <c r="B305" s="83" t="s">
        <v>521</v>
      </c>
      <c r="C305" s="83" t="s">
        <v>51</v>
      </c>
      <c r="D305" s="91">
        <v>922.5</v>
      </c>
      <c r="E305" s="91">
        <v>1025</v>
      </c>
      <c r="F305" s="91">
        <v>2050.1</v>
      </c>
      <c r="G305" s="84" t="s">
        <v>22</v>
      </c>
    </row>
    <row r="306" spans="1:7" x14ac:dyDescent="0.3">
      <c r="A306" s="85" t="s">
        <v>382</v>
      </c>
      <c r="B306" s="86" t="s">
        <v>383</v>
      </c>
      <c r="C306" s="86" t="s">
        <v>47</v>
      </c>
      <c r="D306" s="92">
        <v>907.2</v>
      </c>
      <c r="E306" s="92">
        <v>1008</v>
      </c>
      <c r="F306" s="92">
        <v>2016.1</v>
      </c>
      <c r="G306" s="87" t="s">
        <v>13</v>
      </c>
    </row>
  </sheetData>
  <mergeCells count="1">
    <mergeCell ref="A1:G1"/>
  </mergeCells>
  <conditionalFormatting sqref="D8:D306">
    <cfRule type="top10" dxfId="8" priority="10" bottom="1" rank="3"/>
    <cfRule type="top10" dxfId="7" priority="11" rank="5"/>
  </conditionalFormatting>
  <conditionalFormatting sqref="E8:E306">
    <cfRule type="dataBar" priority="7">
      <dataBar>
        <cfvo type="num" val="0"/>
        <cfvo type="num" val="5000"/>
        <color rgb="FF00B050"/>
      </dataBar>
      <extLst>
        <ext xmlns:x14="http://schemas.microsoft.com/office/spreadsheetml/2009/9/main" uri="{B025F937-C7B1-47D3-B67F-A62EFF666E3E}">
          <x14:id>{21A4E1F2-C92C-4B66-A1B7-470145DA5A33}</x14:id>
        </ext>
      </extLst>
    </cfRule>
    <cfRule type="iconSet" priority="8">
      <iconSet iconSet="3Flags">
        <cfvo type="percent" val="0"/>
        <cfvo type="num" val="2000"/>
        <cfvo type="num" val="3000"/>
      </iconSet>
    </cfRule>
  </conditionalFormatting>
  <conditionalFormatting sqref="F8:F306">
    <cfRule type="aboveAverage" dxfId="6" priority="5" aboveAverage="0"/>
    <cfRule type="aboveAverage" dxfId="5" priority="6"/>
  </conditionalFormatting>
  <conditionalFormatting sqref="G8:G306">
    <cfRule type="cellIs" dxfId="4" priority="1" operator="equal">
      <formula>$J$27</formula>
    </cfRule>
    <cfRule type="cellIs" dxfId="3" priority="2" operator="equal">
      <formula>$J$26</formula>
    </cfRule>
    <cfRule type="cellIs" dxfId="2" priority="3" operator="equal">
      <formula>$J$25</formula>
    </cfRule>
    <cfRule type="cellIs" dxfId="1" priority="4" operator="equal">
      <formula>$J$24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A4E1F2-C92C-4B66-A1B7-470145DA5A33}">
            <x14:dataBar minLength="0" maxLength="100" gradient="0">
              <x14:cfvo type="num">
                <xm:f>0</xm:f>
              </x14:cfvo>
              <x14:cfvo type="num">
                <xm:f>5000</xm:f>
              </x14:cfvo>
              <x14:negativeFillColor rgb="FFFF0000"/>
              <x14:axisColor rgb="FF000000"/>
            </x14:dataBar>
          </x14:cfRule>
          <xm:sqref>E8:E306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O47"/>
  <sheetViews>
    <sheetView workbookViewId="0">
      <selection activeCell="I8" sqref="I8"/>
    </sheetView>
  </sheetViews>
  <sheetFormatPr baseColWidth="10" defaultRowHeight="14.4" x14ac:dyDescent="0.3"/>
  <cols>
    <col min="2" max="2" width="11.6640625" bestFit="1" customWidth="1"/>
    <col min="3" max="3" width="13.44140625" bestFit="1" customWidth="1"/>
    <col min="4" max="4" width="18.44140625" bestFit="1" customWidth="1"/>
    <col min="5" max="5" width="9.88671875" bestFit="1" customWidth="1"/>
    <col min="6" max="6" width="13.44140625" bestFit="1" customWidth="1"/>
    <col min="7" max="7" width="11.5546875" bestFit="1" customWidth="1"/>
  </cols>
  <sheetData>
    <row r="3" spans="2:15" x14ac:dyDescent="0.3">
      <c r="B3" s="7" t="s">
        <v>536</v>
      </c>
      <c r="C3" s="7" t="s">
        <v>537</v>
      </c>
      <c r="D3" s="7" t="s">
        <v>9</v>
      </c>
      <c r="E3" s="7" t="s">
        <v>538</v>
      </c>
      <c r="F3" s="7" t="s">
        <v>539</v>
      </c>
      <c r="G3" s="7" t="s">
        <v>540</v>
      </c>
      <c r="I3" s="5" t="s">
        <v>541</v>
      </c>
      <c r="O3" s="28" t="s">
        <v>955</v>
      </c>
    </row>
    <row r="4" spans="2:15" x14ac:dyDescent="0.3">
      <c r="B4" t="s">
        <v>542</v>
      </c>
      <c r="C4" t="s">
        <v>543</v>
      </c>
      <c r="D4" t="s">
        <v>544</v>
      </c>
      <c r="E4" t="s">
        <v>545</v>
      </c>
      <c r="F4">
        <v>256</v>
      </c>
      <c r="G4">
        <v>17920</v>
      </c>
      <c r="I4" s="5" t="s">
        <v>546</v>
      </c>
    </row>
    <row r="5" spans="2:15" x14ac:dyDescent="0.3">
      <c r="B5" t="s">
        <v>547</v>
      </c>
      <c r="C5" t="s">
        <v>548</v>
      </c>
      <c r="D5" t="s">
        <v>549</v>
      </c>
      <c r="E5" t="s">
        <v>545</v>
      </c>
      <c r="F5">
        <v>45</v>
      </c>
      <c r="G5">
        <v>3150</v>
      </c>
      <c r="I5" s="5" t="s">
        <v>550</v>
      </c>
    </row>
    <row r="6" spans="2:15" x14ac:dyDescent="0.3">
      <c r="B6" t="s">
        <v>542</v>
      </c>
      <c r="C6" t="s">
        <v>543</v>
      </c>
      <c r="D6" t="s">
        <v>551</v>
      </c>
      <c r="E6" t="s">
        <v>552</v>
      </c>
      <c r="F6">
        <v>479</v>
      </c>
      <c r="G6">
        <v>33530</v>
      </c>
    </row>
    <row r="7" spans="2:15" x14ac:dyDescent="0.3">
      <c r="B7" t="s">
        <v>553</v>
      </c>
      <c r="C7" t="s">
        <v>554</v>
      </c>
      <c r="D7" t="s">
        <v>555</v>
      </c>
      <c r="E7" t="s">
        <v>552</v>
      </c>
      <c r="F7">
        <v>394</v>
      </c>
      <c r="G7">
        <v>27580</v>
      </c>
    </row>
    <row r="8" spans="2:15" x14ac:dyDescent="0.3">
      <c r="B8" t="s">
        <v>556</v>
      </c>
      <c r="C8" t="s">
        <v>557</v>
      </c>
      <c r="D8" t="s">
        <v>558</v>
      </c>
      <c r="E8" t="s">
        <v>552</v>
      </c>
      <c r="F8">
        <v>306</v>
      </c>
      <c r="G8">
        <v>21420</v>
      </c>
      <c r="I8" t="s">
        <v>552</v>
      </c>
    </row>
    <row r="9" spans="2:15" x14ac:dyDescent="0.3">
      <c r="B9" t="s">
        <v>547</v>
      </c>
      <c r="C9" t="s">
        <v>548</v>
      </c>
      <c r="D9" t="s">
        <v>559</v>
      </c>
      <c r="E9" t="s">
        <v>545</v>
      </c>
      <c r="F9">
        <v>244</v>
      </c>
      <c r="G9">
        <v>17080</v>
      </c>
    </row>
    <row r="10" spans="2:15" x14ac:dyDescent="0.3">
      <c r="B10" t="s">
        <v>553</v>
      </c>
      <c r="C10" t="s">
        <v>554</v>
      </c>
      <c r="D10" t="s">
        <v>560</v>
      </c>
      <c r="E10" t="s">
        <v>552</v>
      </c>
      <c r="F10">
        <v>93</v>
      </c>
      <c r="G10">
        <v>6510</v>
      </c>
    </row>
    <row r="11" spans="2:15" x14ac:dyDescent="0.3">
      <c r="B11" t="s">
        <v>542</v>
      </c>
      <c r="C11" t="s">
        <v>543</v>
      </c>
      <c r="D11" t="s">
        <v>561</v>
      </c>
      <c r="E11" t="s">
        <v>562</v>
      </c>
      <c r="F11">
        <v>52</v>
      </c>
      <c r="G11">
        <v>3640</v>
      </c>
    </row>
    <row r="12" spans="2:15" x14ac:dyDescent="0.3">
      <c r="B12" t="s">
        <v>547</v>
      </c>
      <c r="C12" t="s">
        <v>548</v>
      </c>
      <c r="D12" t="s">
        <v>563</v>
      </c>
      <c r="E12" t="s">
        <v>562</v>
      </c>
      <c r="F12">
        <v>166</v>
      </c>
      <c r="G12">
        <v>11620</v>
      </c>
    </row>
    <row r="13" spans="2:15" x14ac:dyDescent="0.3">
      <c r="B13" t="s">
        <v>547</v>
      </c>
      <c r="C13" t="s">
        <v>548</v>
      </c>
      <c r="D13" t="s">
        <v>564</v>
      </c>
      <c r="E13" t="s">
        <v>552</v>
      </c>
      <c r="F13">
        <v>180</v>
      </c>
      <c r="G13">
        <v>12600</v>
      </c>
    </row>
    <row r="14" spans="2:15" x14ac:dyDescent="0.3">
      <c r="B14" t="s">
        <v>553</v>
      </c>
      <c r="C14" t="s">
        <v>554</v>
      </c>
      <c r="D14" t="s">
        <v>565</v>
      </c>
      <c r="E14" t="s">
        <v>562</v>
      </c>
      <c r="F14">
        <v>78</v>
      </c>
      <c r="G14">
        <v>5460</v>
      </c>
    </row>
    <row r="15" spans="2:15" x14ac:dyDescent="0.3">
      <c r="B15" t="s">
        <v>556</v>
      </c>
      <c r="C15" t="s">
        <v>557</v>
      </c>
      <c r="D15" t="s">
        <v>566</v>
      </c>
      <c r="E15" t="s">
        <v>545</v>
      </c>
      <c r="F15">
        <v>146</v>
      </c>
      <c r="G15">
        <v>10220</v>
      </c>
    </row>
    <row r="16" spans="2:15" x14ac:dyDescent="0.3">
      <c r="B16" t="s">
        <v>556</v>
      </c>
      <c r="C16" t="s">
        <v>557</v>
      </c>
      <c r="D16" t="s">
        <v>567</v>
      </c>
      <c r="E16" t="s">
        <v>545</v>
      </c>
      <c r="F16">
        <v>377</v>
      </c>
      <c r="G16">
        <v>26390</v>
      </c>
    </row>
    <row r="17" spans="2:7" x14ac:dyDescent="0.3">
      <c r="B17" t="s">
        <v>547</v>
      </c>
      <c r="C17" t="s">
        <v>548</v>
      </c>
      <c r="D17" t="s">
        <v>568</v>
      </c>
      <c r="E17" t="s">
        <v>562</v>
      </c>
      <c r="F17">
        <v>210</v>
      </c>
      <c r="G17">
        <v>14700</v>
      </c>
    </row>
    <row r="18" spans="2:7" x14ac:dyDescent="0.3">
      <c r="B18" t="s">
        <v>542</v>
      </c>
      <c r="C18" t="s">
        <v>543</v>
      </c>
      <c r="D18" t="s">
        <v>569</v>
      </c>
      <c r="E18" t="s">
        <v>545</v>
      </c>
      <c r="F18">
        <v>109</v>
      </c>
      <c r="G18">
        <v>7630</v>
      </c>
    </row>
    <row r="19" spans="2:7" x14ac:dyDescent="0.3">
      <c r="B19" t="s">
        <v>542</v>
      </c>
      <c r="C19" t="s">
        <v>543</v>
      </c>
      <c r="D19" t="s">
        <v>570</v>
      </c>
      <c r="E19" t="s">
        <v>552</v>
      </c>
      <c r="F19">
        <v>369</v>
      </c>
      <c r="G19">
        <v>25830</v>
      </c>
    </row>
    <row r="20" spans="2:7" x14ac:dyDescent="0.3">
      <c r="B20" t="s">
        <v>542</v>
      </c>
      <c r="C20" t="s">
        <v>543</v>
      </c>
      <c r="D20" t="s">
        <v>571</v>
      </c>
      <c r="E20" t="s">
        <v>552</v>
      </c>
      <c r="F20">
        <v>498</v>
      </c>
      <c r="G20">
        <v>34860</v>
      </c>
    </row>
    <row r="21" spans="2:7" x14ac:dyDescent="0.3">
      <c r="B21" t="s">
        <v>556</v>
      </c>
      <c r="C21" t="s">
        <v>557</v>
      </c>
      <c r="D21" t="s">
        <v>572</v>
      </c>
      <c r="E21" t="s">
        <v>562</v>
      </c>
      <c r="F21">
        <v>470</v>
      </c>
      <c r="G21">
        <v>32900</v>
      </c>
    </row>
    <row r="22" spans="2:7" x14ac:dyDescent="0.3">
      <c r="B22" t="s">
        <v>542</v>
      </c>
      <c r="C22" t="s">
        <v>543</v>
      </c>
      <c r="D22" t="s">
        <v>573</v>
      </c>
      <c r="E22" t="s">
        <v>545</v>
      </c>
      <c r="F22">
        <v>372</v>
      </c>
      <c r="G22">
        <v>26040</v>
      </c>
    </row>
    <row r="23" spans="2:7" x14ac:dyDescent="0.3">
      <c r="B23" t="s">
        <v>553</v>
      </c>
      <c r="C23" t="s">
        <v>554</v>
      </c>
      <c r="D23" t="s">
        <v>574</v>
      </c>
      <c r="E23" t="s">
        <v>552</v>
      </c>
      <c r="F23">
        <v>361</v>
      </c>
      <c r="G23">
        <v>25270</v>
      </c>
    </row>
    <row r="24" spans="2:7" x14ac:dyDescent="0.3">
      <c r="B24" t="s">
        <v>547</v>
      </c>
      <c r="C24" t="s">
        <v>548</v>
      </c>
      <c r="D24" t="s">
        <v>575</v>
      </c>
      <c r="E24" t="s">
        <v>545</v>
      </c>
      <c r="F24">
        <v>492</v>
      </c>
      <c r="G24">
        <v>34440</v>
      </c>
    </row>
    <row r="25" spans="2:7" x14ac:dyDescent="0.3">
      <c r="B25" t="s">
        <v>547</v>
      </c>
      <c r="C25" t="s">
        <v>548</v>
      </c>
      <c r="D25" t="s">
        <v>576</v>
      </c>
      <c r="E25" t="s">
        <v>552</v>
      </c>
      <c r="F25">
        <v>439</v>
      </c>
      <c r="G25">
        <v>30730</v>
      </c>
    </row>
    <row r="26" spans="2:7" x14ac:dyDescent="0.3">
      <c r="B26" t="s">
        <v>553</v>
      </c>
      <c r="C26" t="s">
        <v>554</v>
      </c>
      <c r="D26" t="s">
        <v>577</v>
      </c>
      <c r="E26" t="s">
        <v>545</v>
      </c>
      <c r="F26">
        <v>17</v>
      </c>
      <c r="G26">
        <v>1190</v>
      </c>
    </row>
    <row r="27" spans="2:7" x14ac:dyDescent="0.3">
      <c r="B27" t="s">
        <v>542</v>
      </c>
      <c r="C27" t="s">
        <v>543</v>
      </c>
      <c r="D27" t="s">
        <v>578</v>
      </c>
      <c r="E27" t="s">
        <v>545</v>
      </c>
      <c r="F27">
        <v>90</v>
      </c>
      <c r="G27">
        <v>6300</v>
      </c>
    </row>
    <row r="28" spans="2:7" x14ac:dyDescent="0.3">
      <c r="B28" t="s">
        <v>556</v>
      </c>
      <c r="C28" t="s">
        <v>557</v>
      </c>
      <c r="D28" t="s">
        <v>558</v>
      </c>
      <c r="E28" t="s">
        <v>552</v>
      </c>
      <c r="F28">
        <v>306</v>
      </c>
      <c r="G28">
        <v>21420</v>
      </c>
    </row>
    <row r="29" spans="2:7" x14ac:dyDescent="0.3">
      <c r="B29" t="s">
        <v>547</v>
      </c>
      <c r="C29" t="s">
        <v>548</v>
      </c>
      <c r="D29" t="s">
        <v>559</v>
      </c>
      <c r="E29" t="s">
        <v>545</v>
      </c>
      <c r="F29">
        <v>244</v>
      </c>
      <c r="G29">
        <v>17080</v>
      </c>
    </row>
    <row r="30" spans="2:7" x14ac:dyDescent="0.3">
      <c r="B30" t="s">
        <v>553</v>
      </c>
      <c r="C30" t="s">
        <v>554</v>
      </c>
      <c r="D30" t="s">
        <v>560</v>
      </c>
      <c r="E30" t="s">
        <v>552</v>
      </c>
      <c r="F30">
        <v>93</v>
      </c>
      <c r="G30">
        <v>6510</v>
      </c>
    </row>
    <row r="31" spans="2:7" x14ac:dyDescent="0.3">
      <c r="B31" t="s">
        <v>542</v>
      </c>
      <c r="C31" t="s">
        <v>543</v>
      </c>
      <c r="D31" t="s">
        <v>561</v>
      </c>
      <c r="E31" t="s">
        <v>562</v>
      </c>
      <c r="F31">
        <v>52</v>
      </c>
      <c r="G31">
        <v>3640</v>
      </c>
    </row>
    <row r="32" spans="2:7" x14ac:dyDescent="0.3">
      <c r="B32" t="s">
        <v>547</v>
      </c>
      <c r="C32" t="s">
        <v>548</v>
      </c>
      <c r="D32" t="s">
        <v>563</v>
      </c>
      <c r="E32" t="s">
        <v>562</v>
      </c>
      <c r="F32">
        <v>166</v>
      </c>
      <c r="G32">
        <v>11620</v>
      </c>
    </row>
    <row r="33" spans="2:7" x14ac:dyDescent="0.3">
      <c r="B33" t="s">
        <v>547</v>
      </c>
      <c r="C33" t="s">
        <v>548</v>
      </c>
      <c r="D33" t="s">
        <v>564</v>
      </c>
      <c r="E33" t="s">
        <v>552</v>
      </c>
      <c r="F33">
        <v>180</v>
      </c>
      <c r="G33">
        <v>12600</v>
      </c>
    </row>
    <row r="34" spans="2:7" x14ac:dyDescent="0.3">
      <c r="B34" t="s">
        <v>553</v>
      </c>
      <c r="C34" t="s">
        <v>554</v>
      </c>
      <c r="D34" t="s">
        <v>565</v>
      </c>
      <c r="E34" t="s">
        <v>562</v>
      </c>
      <c r="F34">
        <v>78</v>
      </c>
      <c r="G34">
        <v>5460</v>
      </c>
    </row>
    <row r="35" spans="2:7" x14ac:dyDescent="0.3">
      <c r="B35" t="s">
        <v>556</v>
      </c>
      <c r="C35" t="s">
        <v>557</v>
      </c>
      <c r="D35" t="s">
        <v>566</v>
      </c>
      <c r="E35" t="s">
        <v>545</v>
      </c>
      <c r="F35">
        <v>146</v>
      </c>
      <c r="G35">
        <v>10220</v>
      </c>
    </row>
    <row r="36" spans="2:7" x14ac:dyDescent="0.3">
      <c r="B36" t="s">
        <v>556</v>
      </c>
      <c r="C36" t="s">
        <v>557</v>
      </c>
      <c r="D36" t="s">
        <v>567</v>
      </c>
      <c r="E36" t="s">
        <v>545</v>
      </c>
      <c r="F36">
        <v>377</v>
      </c>
      <c r="G36">
        <v>26390</v>
      </c>
    </row>
    <row r="37" spans="2:7" x14ac:dyDescent="0.3">
      <c r="B37" t="s">
        <v>547</v>
      </c>
      <c r="C37" t="s">
        <v>548</v>
      </c>
      <c r="D37" t="s">
        <v>568</v>
      </c>
      <c r="E37" t="s">
        <v>562</v>
      </c>
      <c r="F37">
        <v>210</v>
      </c>
      <c r="G37">
        <v>14700</v>
      </c>
    </row>
    <row r="38" spans="2:7" x14ac:dyDescent="0.3">
      <c r="B38" t="s">
        <v>542</v>
      </c>
      <c r="C38" t="s">
        <v>543</v>
      </c>
      <c r="D38" t="s">
        <v>569</v>
      </c>
      <c r="E38" t="s">
        <v>545</v>
      </c>
      <c r="F38">
        <v>109</v>
      </c>
      <c r="G38">
        <v>7630</v>
      </c>
    </row>
    <row r="39" spans="2:7" x14ac:dyDescent="0.3">
      <c r="B39" t="s">
        <v>542</v>
      </c>
      <c r="C39" t="s">
        <v>543</v>
      </c>
      <c r="D39" t="s">
        <v>570</v>
      </c>
      <c r="E39" t="s">
        <v>552</v>
      </c>
      <c r="F39">
        <v>369</v>
      </c>
      <c r="G39">
        <v>25830</v>
      </c>
    </row>
    <row r="40" spans="2:7" x14ac:dyDescent="0.3">
      <c r="B40" t="s">
        <v>542</v>
      </c>
      <c r="C40" t="s">
        <v>543</v>
      </c>
      <c r="D40" t="s">
        <v>571</v>
      </c>
      <c r="E40" t="s">
        <v>552</v>
      </c>
      <c r="F40">
        <v>498</v>
      </c>
      <c r="G40">
        <v>34860</v>
      </c>
    </row>
    <row r="41" spans="2:7" x14ac:dyDescent="0.3">
      <c r="B41" t="s">
        <v>556</v>
      </c>
      <c r="C41" t="s">
        <v>557</v>
      </c>
      <c r="D41" t="s">
        <v>572</v>
      </c>
      <c r="E41" t="s">
        <v>562</v>
      </c>
      <c r="F41">
        <v>470</v>
      </c>
      <c r="G41">
        <v>32900</v>
      </c>
    </row>
    <row r="42" spans="2:7" x14ac:dyDescent="0.3">
      <c r="B42" t="s">
        <v>542</v>
      </c>
      <c r="C42" t="s">
        <v>543</v>
      </c>
      <c r="D42" t="s">
        <v>573</v>
      </c>
      <c r="E42" t="s">
        <v>545</v>
      </c>
      <c r="F42">
        <v>372</v>
      </c>
      <c r="G42">
        <v>26040</v>
      </c>
    </row>
    <row r="43" spans="2:7" x14ac:dyDescent="0.3">
      <c r="B43" t="s">
        <v>553</v>
      </c>
      <c r="C43" t="s">
        <v>554</v>
      </c>
      <c r="D43" t="s">
        <v>574</v>
      </c>
      <c r="E43" t="s">
        <v>552</v>
      </c>
      <c r="F43">
        <v>361</v>
      </c>
      <c r="G43">
        <v>25270</v>
      </c>
    </row>
    <row r="44" spans="2:7" x14ac:dyDescent="0.3">
      <c r="B44" t="s">
        <v>547</v>
      </c>
      <c r="C44" t="s">
        <v>548</v>
      </c>
      <c r="D44" t="s">
        <v>575</v>
      </c>
      <c r="E44" t="s">
        <v>545</v>
      </c>
      <c r="F44">
        <v>492</v>
      </c>
      <c r="G44">
        <v>34440</v>
      </c>
    </row>
    <row r="45" spans="2:7" x14ac:dyDescent="0.3">
      <c r="B45" t="s">
        <v>547</v>
      </c>
      <c r="C45" t="s">
        <v>548</v>
      </c>
      <c r="D45" t="s">
        <v>576</v>
      </c>
      <c r="E45" t="s">
        <v>552</v>
      </c>
      <c r="F45">
        <v>439</v>
      </c>
      <c r="G45">
        <v>30730</v>
      </c>
    </row>
    <row r="46" spans="2:7" x14ac:dyDescent="0.3">
      <c r="B46" t="s">
        <v>553</v>
      </c>
      <c r="C46" t="s">
        <v>554</v>
      </c>
      <c r="D46" t="s">
        <v>577</v>
      </c>
      <c r="E46" t="s">
        <v>545</v>
      </c>
      <c r="F46">
        <v>17</v>
      </c>
      <c r="G46">
        <v>1190</v>
      </c>
    </row>
    <row r="47" spans="2:7" x14ac:dyDescent="0.3">
      <c r="B47" t="s">
        <v>542</v>
      </c>
      <c r="C47" t="s">
        <v>543</v>
      </c>
      <c r="D47" t="s">
        <v>578</v>
      </c>
      <c r="E47" t="s">
        <v>545</v>
      </c>
      <c r="F47">
        <v>90</v>
      </c>
      <c r="G47">
        <v>6300</v>
      </c>
    </row>
  </sheetData>
  <conditionalFormatting sqref="B4:G47">
    <cfRule type="expression" dxfId="0" priority="1">
      <formula>$E4=$I$8</formula>
    </cfRule>
  </conditionalFormatting>
  <dataValidations count="1">
    <dataValidation type="list" allowBlank="1" showInputMessage="1" showErrorMessage="1" sqref="I8" xr:uid="{2E9BF5CB-B7BF-46E1-AA18-97F3D5B38DEA}">
      <formula1>$E$4:$E$47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M16"/>
  <sheetViews>
    <sheetView zoomScale="85" zoomScaleNormal="85" workbookViewId="0">
      <selection activeCell="C16" sqref="C16"/>
    </sheetView>
  </sheetViews>
  <sheetFormatPr baseColWidth="10" defaultRowHeight="14.4" x14ac:dyDescent="0.3"/>
  <cols>
    <col min="2" max="2" width="26.5546875" bestFit="1" customWidth="1"/>
    <col min="3" max="3" width="22.88671875" customWidth="1"/>
  </cols>
  <sheetData>
    <row r="3" spans="2:13" ht="18" x14ac:dyDescent="0.35">
      <c r="B3" s="133" t="s">
        <v>579</v>
      </c>
      <c r="C3" s="133"/>
      <c r="D3" s="21"/>
      <c r="E3" s="22" t="s">
        <v>580</v>
      </c>
      <c r="F3" s="5"/>
      <c r="G3" s="5"/>
      <c r="M3" s="28" t="s">
        <v>627</v>
      </c>
    </row>
    <row r="4" spans="2:13" x14ac:dyDescent="0.3">
      <c r="E4" s="5" t="s">
        <v>581</v>
      </c>
      <c r="F4" s="5"/>
      <c r="G4" s="5"/>
    </row>
    <row r="5" spans="2:13" x14ac:dyDescent="0.3">
      <c r="B5" s="23" t="s">
        <v>582</v>
      </c>
      <c r="C5" s="24">
        <v>20000</v>
      </c>
      <c r="E5" s="5" t="s">
        <v>583</v>
      </c>
    </row>
    <row r="6" spans="2:13" x14ac:dyDescent="0.3">
      <c r="B6" s="23" t="s">
        <v>584</v>
      </c>
      <c r="C6" s="24">
        <v>20000</v>
      </c>
    </row>
    <row r="7" spans="2:13" x14ac:dyDescent="0.3">
      <c r="B7" s="25" t="s">
        <v>585</v>
      </c>
      <c r="C7" s="26">
        <f>SUM(C5:C6)</f>
        <v>40000</v>
      </c>
    </row>
    <row r="9" spans="2:13" x14ac:dyDescent="0.3">
      <c r="B9" s="23" t="s">
        <v>586</v>
      </c>
      <c r="C9" s="24">
        <v>22000</v>
      </c>
    </row>
    <row r="10" spans="2:13" x14ac:dyDescent="0.3">
      <c r="B10" s="23" t="s">
        <v>587</v>
      </c>
      <c r="C10" s="24">
        <v>5000</v>
      </c>
    </row>
    <row r="11" spans="2:13" x14ac:dyDescent="0.3">
      <c r="B11" s="23" t="s">
        <v>29</v>
      </c>
      <c r="C11" s="24">
        <v>9000</v>
      </c>
    </row>
    <row r="12" spans="2:13" x14ac:dyDescent="0.3">
      <c r="B12" s="23" t="s">
        <v>588</v>
      </c>
      <c r="C12" s="24">
        <v>800</v>
      </c>
    </row>
    <row r="13" spans="2:13" x14ac:dyDescent="0.3">
      <c r="B13" s="23" t="s">
        <v>589</v>
      </c>
      <c r="C13" s="24">
        <v>900</v>
      </c>
    </row>
    <row r="14" spans="2:13" x14ac:dyDescent="0.3">
      <c r="B14" s="25" t="s">
        <v>590</v>
      </c>
      <c r="C14" s="26">
        <f>SUM(C9:C13)</f>
        <v>37700</v>
      </c>
      <c r="E14" s="27"/>
    </row>
    <row r="16" spans="2:13" x14ac:dyDescent="0.3">
      <c r="B16" s="25" t="s">
        <v>591</v>
      </c>
      <c r="C16" s="26">
        <f>C7-C14</f>
        <v>2300</v>
      </c>
    </row>
  </sheetData>
  <scenarios current="0" show="2" sqref="C16">
    <scenario name="ESC1" locked="1" count="5" user="Alonso Manuel Pérez Guanilo" comment="Creado por Alonso Manuel Pérez Guanilo el 12/02/2026">
      <inputCells r="C9" val="22500" numFmtId="166"/>
      <inputCells r="C10" val="4500" numFmtId="166"/>
      <inputCells r="C11" val="8000" numFmtId="166"/>
      <inputCells r="C12" val="900" numFmtId="166"/>
      <inputCells r="C13" val="800" numFmtId="166"/>
    </scenario>
    <scenario name="ESC2" locked="1" count="5" user="Alonso Manuel Pérez Guanilo" comment="Creado por Alonso Manuel Pérez Guanilo el 12/02/2026">
      <inputCells r="C9" val="23000" numFmtId="166"/>
      <inputCells r="C10" val="4500" numFmtId="166"/>
      <inputCells r="C11" val="8000" numFmtId="166"/>
      <inputCells r="C12" val="850" numFmtId="166"/>
      <inputCells r="C13" val="850" numFmtId="166"/>
    </scenario>
    <scenario name="ESC3" locked="1" count="5" user="Alonso Manuel Pérez Guanilo" comment="Creado por Alonso Manuel Pérez Guanilo el 12/02/2026">
      <inputCells r="C9" val="24000" numFmtId="166"/>
      <inputCells r="C10" val="4500" numFmtId="166"/>
      <inputCells r="C11" val="9500" numFmtId="166"/>
      <inputCells r="C12" val="900" numFmtId="166"/>
      <inputCells r="C13" val="800" numFmtId="166"/>
    </scenario>
  </scenarios>
  <mergeCells count="1">
    <mergeCell ref="B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448D-9F8B-468B-8A51-DD61C494C9D6}">
  <sheetPr>
    <outlinePr summaryBelow="0"/>
  </sheetPr>
  <dimension ref="B1:G15"/>
  <sheetViews>
    <sheetView showGridLines="0" workbookViewId="0"/>
  </sheetViews>
  <sheetFormatPr baseColWidth="10" defaultRowHeight="14.4" outlineLevelRow="1" outlineLevelCol="1" x14ac:dyDescent="0.3"/>
  <cols>
    <col min="3" max="3" width="10.109375" bestFit="1" customWidth="1"/>
    <col min="4" max="7" width="14.109375" bestFit="1" customWidth="1" outlineLevel="1"/>
  </cols>
  <sheetData>
    <row r="1" spans="2:7" ht="15" thickBot="1" x14ac:dyDescent="0.35"/>
    <row r="2" spans="2:7" ht="15.6" x14ac:dyDescent="0.3">
      <c r="B2" s="97" t="s">
        <v>986</v>
      </c>
      <c r="C2" s="97"/>
      <c r="D2" s="102"/>
      <c r="E2" s="102"/>
      <c r="F2" s="102"/>
      <c r="G2" s="102"/>
    </row>
    <row r="3" spans="2:7" ht="15.6" collapsed="1" x14ac:dyDescent="0.3">
      <c r="B3" s="96"/>
      <c r="C3" s="96"/>
      <c r="D3" s="103" t="s">
        <v>988</v>
      </c>
      <c r="E3" s="103" t="s">
        <v>982</v>
      </c>
      <c r="F3" s="103" t="s">
        <v>984</v>
      </c>
      <c r="G3" s="103" t="s">
        <v>985</v>
      </c>
    </row>
    <row r="4" spans="2:7" ht="40.799999999999997" hidden="1" outlineLevel="1" x14ac:dyDescent="0.3">
      <c r="B4" s="99"/>
      <c r="C4" s="99"/>
      <c r="E4" s="105" t="s">
        <v>983</v>
      </c>
      <c r="F4" s="105" t="s">
        <v>983</v>
      </c>
      <c r="G4" s="105" t="s">
        <v>983</v>
      </c>
    </row>
    <row r="5" spans="2:7" x14ac:dyDescent="0.3">
      <c r="B5" s="100" t="s">
        <v>987</v>
      </c>
      <c r="C5" s="100"/>
      <c r="D5" s="98"/>
      <c r="E5" s="98"/>
      <c r="F5" s="98"/>
      <c r="G5" s="98"/>
    </row>
    <row r="6" spans="2:7" outlineLevel="1" x14ac:dyDescent="0.3">
      <c r="B6" s="99"/>
      <c r="C6" s="99" t="s">
        <v>980</v>
      </c>
      <c r="D6" s="93">
        <v>22000</v>
      </c>
      <c r="E6" s="104">
        <v>22500</v>
      </c>
      <c r="F6" s="104">
        <v>23000</v>
      </c>
      <c r="G6" s="104">
        <v>24000</v>
      </c>
    </row>
    <row r="7" spans="2:7" outlineLevel="1" x14ac:dyDescent="0.3">
      <c r="B7" s="99"/>
      <c r="C7" s="99" t="s">
        <v>587</v>
      </c>
      <c r="D7" s="93">
        <v>5000</v>
      </c>
      <c r="E7" s="104">
        <v>4500</v>
      </c>
      <c r="F7" s="104">
        <v>4500</v>
      </c>
      <c r="G7" s="104">
        <v>4500</v>
      </c>
    </row>
    <row r="8" spans="2:7" outlineLevel="1" x14ac:dyDescent="0.3">
      <c r="B8" s="99"/>
      <c r="C8" s="99" t="s">
        <v>29</v>
      </c>
      <c r="D8" s="93">
        <v>9000</v>
      </c>
      <c r="E8" s="104">
        <v>8000</v>
      </c>
      <c r="F8" s="104">
        <v>8000</v>
      </c>
      <c r="G8" s="104">
        <v>9500</v>
      </c>
    </row>
    <row r="9" spans="2:7" outlineLevel="1" x14ac:dyDescent="0.3">
      <c r="B9" s="99"/>
      <c r="C9" s="99" t="s">
        <v>588</v>
      </c>
      <c r="D9" s="93">
        <v>800</v>
      </c>
      <c r="E9" s="104">
        <v>900</v>
      </c>
      <c r="F9" s="104">
        <v>850</v>
      </c>
      <c r="G9" s="104">
        <v>900</v>
      </c>
    </row>
    <row r="10" spans="2:7" outlineLevel="1" x14ac:dyDescent="0.3">
      <c r="B10" s="99"/>
      <c r="C10" s="99" t="s">
        <v>589</v>
      </c>
      <c r="D10" s="93">
        <v>900</v>
      </c>
      <c r="E10" s="104">
        <v>800</v>
      </c>
      <c r="F10" s="104">
        <v>850</v>
      </c>
      <c r="G10" s="104">
        <v>800</v>
      </c>
    </row>
    <row r="11" spans="2:7" x14ac:dyDescent="0.3">
      <c r="B11" s="100" t="s">
        <v>989</v>
      </c>
      <c r="C11" s="100"/>
      <c r="D11" s="98"/>
      <c r="E11" s="98"/>
      <c r="F11" s="98"/>
      <c r="G11" s="98"/>
    </row>
    <row r="12" spans="2:7" ht="15" outlineLevel="1" thickBot="1" x14ac:dyDescent="0.35">
      <c r="B12" s="101"/>
      <c r="C12" s="101" t="s">
        <v>981</v>
      </c>
      <c r="D12" s="95">
        <v>2300</v>
      </c>
      <c r="E12" s="95">
        <v>3300</v>
      </c>
      <c r="F12" s="95">
        <v>2800</v>
      </c>
      <c r="G12" s="95">
        <v>300</v>
      </c>
    </row>
    <row r="13" spans="2:7" x14ac:dyDescent="0.3">
      <c r="B13" t="s">
        <v>990</v>
      </c>
    </row>
    <row r="14" spans="2:7" x14ac:dyDescent="0.3">
      <c r="B14" t="s">
        <v>991</v>
      </c>
    </row>
    <row r="15" spans="2:7" x14ac:dyDescent="0.3">
      <c r="B15" t="s">
        <v>992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1"/>
  <sheetViews>
    <sheetView zoomScale="85" zoomScaleNormal="85" workbookViewId="0">
      <selection activeCell="F16" sqref="F16"/>
    </sheetView>
  </sheetViews>
  <sheetFormatPr baseColWidth="10" defaultRowHeight="14.4" x14ac:dyDescent="0.3"/>
  <cols>
    <col min="2" max="6" width="31.5546875" customWidth="1"/>
    <col min="7" max="7" width="22" customWidth="1"/>
    <col min="12" max="12" width="20.44140625" customWidth="1"/>
  </cols>
  <sheetData>
    <row r="2" spans="2:9" x14ac:dyDescent="0.3">
      <c r="B2" s="5" t="s">
        <v>592</v>
      </c>
      <c r="G2" s="28" t="s">
        <v>956</v>
      </c>
    </row>
    <row r="4" spans="2:9" ht="15" customHeight="1" thickBot="1" x14ac:dyDescent="0.35"/>
    <row r="5" spans="2:9" ht="15" customHeight="1" thickBot="1" x14ac:dyDescent="0.35">
      <c r="B5" s="134" t="s">
        <v>593</v>
      </c>
      <c r="C5" s="135"/>
      <c r="D5" s="135"/>
      <c r="E5" s="135"/>
      <c r="F5" s="136"/>
    </row>
    <row r="6" spans="2:9" ht="15" customHeight="1" thickBot="1" x14ac:dyDescent="0.35">
      <c r="B6" s="29" t="s">
        <v>594</v>
      </c>
      <c r="C6" s="30" t="s">
        <v>595</v>
      </c>
      <c r="D6" s="29" t="s">
        <v>596</v>
      </c>
      <c r="E6" s="30" t="s">
        <v>597</v>
      </c>
      <c r="F6" s="30" t="s">
        <v>598</v>
      </c>
    </row>
    <row r="7" spans="2:9" ht="15" customHeight="1" thickBot="1" x14ac:dyDescent="0.35">
      <c r="B7" s="31" t="s">
        <v>599</v>
      </c>
      <c r="C7" s="32" t="s">
        <v>600</v>
      </c>
      <c r="D7" s="31">
        <v>1</v>
      </c>
      <c r="E7" s="33">
        <v>7532.5</v>
      </c>
      <c r="F7" s="33">
        <f>E7*D7</f>
        <v>7532.5</v>
      </c>
    </row>
    <row r="8" spans="2:9" ht="15" customHeight="1" thickBot="1" x14ac:dyDescent="0.35">
      <c r="B8" s="31" t="s">
        <v>601</v>
      </c>
      <c r="C8" s="32" t="s">
        <v>602</v>
      </c>
      <c r="D8" s="31">
        <v>1</v>
      </c>
      <c r="E8" s="33">
        <v>586.5</v>
      </c>
      <c r="F8" s="33">
        <f>E8*D8</f>
        <v>586.5</v>
      </c>
    </row>
    <row r="9" spans="2:9" ht="15" customHeight="1" thickBot="1" x14ac:dyDescent="0.35">
      <c r="B9" s="31" t="s">
        <v>603</v>
      </c>
      <c r="C9" s="32" t="s">
        <v>604</v>
      </c>
      <c r="D9" s="31">
        <v>1</v>
      </c>
      <c r="E9" s="33">
        <v>184</v>
      </c>
      <c r="F9" s="33">
        <f>E9*D9</f>
        <v>184</v>
      </c>
    </row>
    <row r="10" spans="2:9" ht="15" customHeight="1" thickBot="1" x14ac:dyDescent="0.35">
      <c r="B10" s="31" t="s">
        <v>605</v>
      </c>
      <c r="C10" s="32" t="s">
        <v>606</v>
      </c>
      <c r="D10" s="31">
        <v>1</v>
      </c>
      <c r="E10" s="33">
        <v>133.4</v>
      </c>
      <c r="F10" s="33">
        <f>E10*D10</f>
        <v>133.4</v>
      </c>
    </row>
    <row r="11" spans="2:9" ht="15" customHeight="1" thickBot="1" x14ac:dyDescent="0.35">
      <c r="B11" s="31" t="s">
        <v>607</v>
      </c>
      <c r="C11" s="32" t="s">
        <v>608</v>
      </c>
      <c r="D11" s="31">
        <v>49.638095238095246</v>
      </c>
      <c r="E11" s="33">
        <v>31.5</v>
      </c>
      <c r="F11" s="34">
        <f>E11*D11</f>
        <v>1563.6000000000004</v>
      </c>
    </row>
    <row r="12" spans="2:9" ht="15" customHeight="1" x14ac:dyDescent="0.3">
      <c r="F12" s="35">
        <f>SUM(F7:F11)</f>
        <v>10000</v>
      </c>
      <c r="G12" s="21" t="s">
        <v>609</v>
      </c>
    </row>
    <row r="13" spans="2:9" ht="15" customHeight="1" x14ac:dyDescent="0.3"/>
    <row r="14" spans="2:9" ht="15" customHeight="1" thickBot="1" x14ac:dyDescent="0.35"/>
    <row r="15" spans="2:9" ht="15" customHeight="1" thickBot="1" x14ac:dyDescent="0.35">
      <c r="F15" s="36">
        <f>F12</f>
        <v>10000</v>
      </c>
      <c r="G15" s="37" t="s">
        <v>0</v>
      </c>
      <c r="I15" s="28" t="s">
        <v>956</v>
      </c>
    </row>
    <row r="16" spans="2:9" ht="15" customHeight="1" thickBot="1" x14ac:dyDescent="0.35">
      <c r="F16" s="38">
        <v>0.35</v>
      </c>
      <c r="G16" s="37" t="s">
        <v>610</v>
      </c>
    </row>
    <row r="17" spans="6:7" ht="15" customHeight="1" thickBot="1" x14ac:dyDescent="0.35">
      <c r="F17" s="33">
        <f>F15*F16</f>
        <v>3500</v>
      </c>
      <c r="G17" s="37" t="s">
        <v>611</v>
      </c>
    </row>
    <row r="18" spans="6:7" ht="15" customHeight="1" thickBot="1" x14ac:dyDescent="0.35">
      <c r="F18" s="39">
        <f>F15-F17</f>
        <v>6500</v>
      </c>
      <c r="G18" s="37" t="s">
        <v>612</v>
      </c>
    </row>
    <row r="19" spans="6:7" ht="15" customHeight="1" x14ac:dyDescent="0.3"/>
    <row r="20" spans="6:7" ht="15" customHeight="1" x14ac:dyDescent="0.3"/>
    <row r="21" spans="6:7" ht="15" customHeight="1" x14ac:dyDescent="0.3"/>
    <row r="22" spans="6:7" ht="15" customHeight="1" x14ac:dyDescent="0.3"/>
    <row r="23" spans="6:7" ht="15" customHeight="1" x14ac:dyDescent="0.3"/>
    <row r="24" spans="6:7" ht="15" customHeight="1" x14ac:dyDescent="0.3"/>
    <row r="25" spans="6:7" ht="15" customHeight="1" x14ac:dyDescent="0.3"/>
    <row r="26" spans="6:7" ht="15" customHeight="1" x14ac:dyDescent="0.3"/>
    <row r="27" spans="6:7" ht="15" customHeight="1" x14ac:dyDescent="0.3"/>
    <row r="28" spans="6:7" ht="15" customHeight="1" x14ac:dyDescent="0.3"/>
    <row r="29" spans="6:7" ht="15" customHeight="1" x14ac:dyDescent="0.3"/>
    <row r="30" spans="6:7" ht="15" customHeight="1" x14ac:dyDescent="0.3"/>
    <row r="31" spans="6:7" ht="15" customHeight="1" x14ac:dyDescent="0.3"/>
  </sheetData>
  <dataConsolidate topLabels="1">
    <dataRefs count="3">
      <dataRef ref="B7:D11" sheet="Hoja1" r:id="rId1"/>
      <dataRef ref="G7:I11" sheet="Hoja1" r:id="rId2"/>
      <dataRef ref="L7:N11" sheet="Hoja1" r:id="rId3"/>
    </dataRefs>
  </dataConsolidate>
  <mergeCells count="1">
    <mergeCell ref="B5:F5"/>
  </mergeCells>
  <pageMargins left="0.7" right="0.7" top="0.75" bottom="0.75" header="0.3" footer="0.3"/>
  <pageSetup paperSize="9" orientation="portrait" r:id="rId4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5"/>
  <sheetViews>
    <sheetView workbookViewId="0">
      <selection activeCell="D25" sqref="D25"/>
    </sheetView>
  </sheetViews>
  <sheetFormatPr baseColWidth="10" defaultRowHeight="14.4" x14ac:dyDescent="0.3"/>
  <cols>
    <col min="3" max="3" width="18.33203125" bestFit="1" customWidth="1"/>
    <col min="4" max="4" width="12.109375" bestFit="1" customWidth="1"/>
    <col min="6" max="6" width="23" bestFit="1" customWidth="1"/>
  </cols>
  <sheetData>
    <row r="1" spans="1:13" ht="16.8" x14ac:dyDescent="0.3">
      <c r="A1" s="40" t="s">
        <v>613</v>
      </c>
      <c r="B1" s="5"/>
      <c r="C1" s="5"/>
      <c r="D1" s="5"/>
      <c r="E1" s="5"/>
      <c r="F1" s="5"/>
      <c r="G1" s="4"/>
      <c r="H1" s="4"/>
      <c r="I1" s="4"/>
      <c r="M1" s="28" t="s">
        <v>955</v>
      </c>
    </row>
    <row r="2" spans="1:13" ht="16.8" x14ac:dyDescent="0.3">
      <c r="A2" s="40" t="s">
        <v>614</v>
      </c>
      <c r="B2" s="5"/>
      <c r="C2" s="5"/>
      <c r="D2" s="5"/>
      <c r="E2" s="5"/>
      <c r="F2" s="5"/>
      <c r="G2" s="4"/>
      <c r="H2" s="4"/>
      <c r="I2" s="4"/>
    </row>
    <row r="3" spans="1:13" ht="16.8" x14ac:dyDescent="0.3">
      <c r="A3" s="40" t="s">
        <v>615</v>
      </c>
      <c r="B3" s="5"/>
      <c r="C3" s="5"/>
      <c r="D3" s="5"/>
      <c r="E3" s="5"/>
      <c r="F3" s="5"/>
      <c r="G3" s="4"/>
      <c r="H3" s="4"/>
      <c r="I3" s="4"/>
    </row>
    <row r="4" spans="1:13" ht="16.8" x14ac:dyDescent="0.3">
      <c r="A4" s="40" t="s">
        <v>616</v>
      </c>
      <c r="B4" s="5"/>
      <c r="C4" s="5"/>
      <c r="D4" s="5"/>
      <c r="E4" s="5"/>
      <c r="F4" s="5"/>
      <c r="G4" s="4"/>
      <c r="H4" s="4"/>
      <c r="I4" s="4"/>
    </row>
    <row r="5" spans="1:13" ht="16.8" x14ac:dyDescent="0.3">
      <c r="A5" s="40" t="s">
        <v>617</v>
      </c>
      <c r="B5" s="5"/>
      <c r="C5" s="5"/>
      <c r="D5" s="5"/>
      <c r="E5" s="5"/>
      <c r="F5" s="5"/>
      <c r="G5" s="4"/>
      <c r="H5" s="4"/>
      <c r="I5" s="4"/>
    </row>
    <row r="6" spans="1:13" ht="16.8" x14ac:dyDescent="0.3">
      <c r="A6" s="40" t="s">
        <v>618</v>
      </c>
      <c r="B6" s="5"/>
      <c r="C6" s="5"/>
      <c r="D6" s="5"/>
      <c r="E6" s="5"/>
      <c r="F6" s="5"/>
      <c r="G6" s="4"/>
      <c r="H6" s="4"/>
      <c r="I6" s="4"/>
    </row>
    <row r="7" spans="1:13" ht="16.8" x14ac:dyDescent="0.3">
      <c r="A7" s="40" t="s">
        <v>619</v>
      </c>
      <c r="B7" s="5"/>
      <c r="C7" s="5"/>
      <c r="D7" s="5"/>
      <c r="E7" s="5"/>
      <c r="F7" s="5"/>
      <c r="G7" s="4"/>
      <c r="H7" s="4"/>
      <c r="I7" s="4"/>
    </row>
    <row r="8" spans="1:13" ht="16.8" x14ac:dyDescent="0.3">
      <c r="A8" s="41"/>
      <c r="B8" s="4"/>
      <c r="C8" s="4"/>
      <c r="D8" s="4"/>
      <c r="E8" s="4"/>
      <c r="F8" s="4"/>
      <c r="G8" s="4"/>
      <c r="H8" s="4"/>
      <c r="I8" s="4"/>
    </row>
    <row r="13" spans="1:13" x14ac:dyDescent="0.3">
      <c r="C13" s="76" t="s">
        <v>993</v>
      </c>
      <c r="D13" s="108">
        <v>400000</v>
      </c>
      <c r="F13" s="78" t="s">
        <v>1002</v>
      </c>
      <c r="G13" s="9">
        <v>100</v>
      </c>
    </row>
    <row r="14" spans="1:13" x14ac:dyDescent="0.3">
      <c r="C14" s="76" t="s">
        <v>994</v>
      </c>
      <c r="D14" s="106">
        <v>100</v>
      </c>
      <c r="F14" s="78" t="s">
        <v>1004</v>
      </c>
      <c r="G14" s="9">
        <v>50</v>
      </c>
    </row>
    <row r="15" spans="1:13" x14ac:dyDescent="0.3">
      <c r="C15" s="76" t="s">
        <v>995</v>
      </c>
      <c r="D15" s="107">
        <f>D13*D14</f>
        <v>40000000</v>
      </c>
      <c r="F15" s="78" t="s">
        <v>1003</v>
      </c>
      <c r="G15" s="9">
        <v>35</v>
      </c>
    </row>
    <row r="17" spans="3:4" x14ac:dyDescent="0.3">
      <c r="C17" s="76" t="s">
        <v>996</v>
      </c>
      <c r="D17" s="108">
        <v>350000</v>
      </c>
    </row>
    <row r="18" spans="3:4" x14ac:dyDescent="0.3">
      <c r="C18" s="76" t="s">
        <v>997</v>
      </c>
      <c r="D18" s="106">
        <v>50</v>
      </c>
    </row>
    <row r="19" spans="3:4" x14ac:dyDescent="0.3">
      <c r="C19" s="76" t="s">
        <v>998</v>
      </c>
      <c r="D19" s="107">
        <f>D17*D18</f>
        <v>17500000</v>
      </c>
    </row>
    <row r="21" spans="3:4" x14ac:dyDescent="0.3">
      <c r="C21" s="76" t="s">
        <v>999</v>
      </c>
      <c r="D21" s="108">
        <v>300000</v>
      </c>
    </row>
    <row r="22" spans="3:4" x14ac:dyDescent="0.3">
      <c r="C22" s="76" t="s">
        <v>1000</v>
      </c>
      <c r="D22" s="106">
        <v>8</v>
      </c>
    </row>
    <row r="23" spans="3:4" x14ac:dyDescent="0.3">
      <c r="C23" s="76" t="s">
        <v>1001</v>
      </c>
      <c r="D23" s="107">
        <f>D21*D22</f>
        <v>2400000</v>
      </c>
    </row>
    <row r="25" spans="3:4" x14ac:dyDescent="0.3">
      <c r="C25" s="109" t="s">
        <v>622</v>
      </c>
      <c r="D25" s="110">
        <f>SUM(D15,D19,D23)</f>
        <v>59900000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22"/>
  <sheetViews>
    <sheetView zoomScale="85" zoomScaleNormal="85" workbookViewId="0">
      <selection activeCell="H9" sqref="H9"/>
    </sheetView>
  </sheetViews>
  <sheetFormatPr baseColWidth="10" defaultRowHeight="14.4" x14ac:dyDescent="0.3"/>
  <cols>
    <col min="2" max="2" width="15.33203125" bestFit="1" customWidth="1"/>
    <col min="3" max="3" width="12.33203125" customWidth="1"/>
  </cols>
  <sheetData>
    <row r="1" spans="2:17" x14ac:dyDescent="0.3">
      <c r="B1" s="5" t="s">
        <v>620</v>
      </c>
      <c r="N1" s="28" t="s">
        <v>674</v>
      </c>
    </row>
    <row r="2" spans="2:17" x14ac:dyDescent="0.3">
      <c r="B2" s="5" t="s">
        <v>621</v>
      </c>
    </row>
    <row r="4" spans="2:17" x14ac:dyDescent="0.3">
      <c r="B4" s="42" t="s">
        <v>622</v>
      </c>
      <c r="C4" s="43">
        <v>10000</v>
      </c>
    </row>
    <row r="5" spans="2:17" x14ac:dyDescent="0.3">
      <c r="B5" s="42" t="s">
        <v>623</v>
      </c>
      <c r="C5" s="43">
        <v>7000</v>
      </c>
      <c r="P5" s="4"/>
    </row>
    <row r="6" spans="2:17" x14ac:dyDescent="0.3">
      <c r="B6" s="42" t="s">
        <v>624</v>
      </c>
      <c r="C6" s="43">
        <f>C4-C5</f>
        <v>3000</v>
      </c>
      <c r="P6" s="4"/>
    </row>
    <row r="7" spans="2:17" x14ac:dyDescent="0.3">
      <c r="B7" s="42" t="s">
        <v>625</v>
      </c>
      <c r="C7" s="44">
        <v>0.18</v>
      </c>
      <c r="H7" s="45"/>
      <c r="I7" s="45"/>
      <c r="J7" s="45"/>
      <c r="K7" s="45"/>
      <c r="L7" s="45"/>
      <c r="M7" s="45"/>
      <c r="N7" s="45"/>
      <c r="O7" s="45"/>
      <c r="P7" s="46"/>
      <c r="Q7" s="45"/>
    </row>
    <row r="8" spans="2:17" x14ac:dyDescent="0.3">
      <c r="B8" s="42" t="s">
        <v>626</v>
      </c>
      <c r="C8" s="43">
        <f>C6-(C6*C7)</f>
        <v>2460</v>
      </c>
    </row>
    <row r="10" spans="2:17" x14ac:dyDescent="0.3">
      <c r="E10" s="9"/>
      <c r="F10" s="9">
        <f>C8</f>
        <v>2460</v>
      </c>
    </row>
    <row r="11" spans="2:17" x14ac:dyDescent="0.3">
      <c r="E11" s="111">
        <v>0.15</v>
      </c>
      <c r="F11" s="9">
        <f t="dataTable" ref="F11:F20" dt2D="0" dtr="0" r1="C7"/>
        <v>2550</v>
      </c>
    </row>
    <row r="12" spans="2:17" x14ac:dyDescent="0.3">
      <c r="E12" s="111">
        <v>0.2</v>
      </c>
      <c r="F12" s="9">
        <v>2400</v>
      </c>
    </row>
    <row r="13" spans="2:17" x14ac:dyDescent="0.3">
      <c r="E13" s="111">
        <v>0.12</v>
      </c>
      <c r="F13" s="9">
        <v>2640</v>
      </c>
    </row>
    <row r="14" spans="2:17" x14ac:dyDescent="0.3">
      <c r="E14" s="111">
        <v>0.19</v>
      </c>
      <c r="F14" s="9">
        <v>2430</v>
      </c>
    </row>
    <row r="15" spans="2:17" x14ac:dyDescent="0.3">
      <c r="E15" s="111">
        <v>0.16</v>
      </c>
      <c r="F15" s="9">
        <v>2520</v>
      </c>
    </row>
    <row r="16" spans="2:17" x14ac:dyDescent="0.3">
      <c r="E16" s="111">
        <v>0.25</v>
      </c>
      <c r="F16" s="9">
        <v>2250</v>
      </c>
    </row>
    <row r="17" spans="5:6" x14ac:dyDescent="0.3">
      <c r="E17" s="111">
        <v>0.17</v>
      </c>
      <c r="F17" s="9">
        <v>2490</v>
      </c>
    </row>
    <row r="18" spans="5:6" x14ac:dyDescent="0.3">
      <c r="E18" s="111">
        <v>0.14000000000000001</v>
      </c>
      <c r="F18" s="9">
        <v>2580</v>
      </c>
    </row>
    <row r="19" spans="5:6" x14ac:dyDescent="0.3">
      <c r="E19" s="111">
        <v>0.13</v>
      </c>
      <c r="F19" s="9">
        <v>2610</v>
      </c>
    </row>
    <row r="20" spans="5:6" x14ac:dyDescent="0.3">
      <c r="E20" s="111">
        <v>0.22</v>
      </c>
      <c r="F20" s="9">
        <v>2340</v>
      </c>
    </row>
    <row r="22" spans="5:6" x14ac:dyDescent="0.3">
      <c r="E22" t="s">
        <v>1005</v>
      </c>
      <c r="F22" t="s">
        <v>626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8"/>
  <sheetViews>
    <sheetView topLeftCell="A6" zoomScale="72" zoomScaleNormal="85" workbookViewId="0">
      <selection activeCell="N39" sqref="N39"/>
    </sheetView>
  </sheetViews>
  <sheetFormatPr baseColWidth="10" defaultRowHeight="14.4" x14ac:dyDescent="0.3"/>
  <cols>
    <col min="2" max="2" width="16.88671875" bestFit="1" customWidth="1"/>
    <col min="6" max="6" width="22.5546875" bestFit="1" customWidth="1"/>
    <col min="14" max="14" width="18" customWidth="1"/>
  </cols>
  <sheetData>
    <row r="1" spans="1:13" ht="19.8" x14ac:dyDescent="0.3">
      <c r="A1" s="131" t="s">
        <v>628</v>
      </c>
      <c r="B1" s="131"/>
      <c r="C1" s="131"/>
      <c r="D1" s="131"/>
      <c r="E1" s="131"/>
      <c r="F1" s="131"/>
      <c r="G1" s="131"/>
      <c r="H1" s="131"/>
    </row>
    <row r="2" spans="1:13" ht="18" x14ac:dyDescent="0.35">
      <c r="A2" s="2"/>
      <c r="B2" s="2"/>
      <c r="C2" s="2"/>
      <c r="D2" s="2"/>
      <c r="E2" s="2"/>
      <c r="F2" s="2"/>
      <c r="G2" s="2"/>
      <c r="H2" s="2"/>
    </row>
    <row r="3" spans="1:13" ht="18.600000000000001" thickBot="1" x14ac:dyDescent="0.4">
      <c r="A3" s="3"/>
      <c r="B3" s="3"/>
      <c r="C3" s="3"/>
      <c r="D3" s="3"/>
      <c r="E3" s="3"/>
      <c r="F3" s="3"/>
      <c r="G3" s="3"/>
      <c r="H3" s="3"/>
    </row>
    <row r="4" spans="1:13" x14ac:dyDescent="0.3">
      <c r="A4" s="5">
        <v>1</v>
      </c>
      <c r="B4" s="5" t="s">
        <v>629</v>
      </c>
      <c r="M4" s="28" t="s">
        <v>672</v>
      </c>
    </row>
    <row r="8" spans="1:13" x14ac:dyDescent="0.3">
      <c r="B8" s="47" t="s">
        <v>630</v>
      </c>
      <c r="C8" s="47" t="s">
        <v>596</v>
      </c>
      <c r="D8" s="47" t="s">
        <v>631</v>
      </c>
      <c r="F8" s="48" t="s">
        <v>632</v>
      </c>
    </row>
    <row r="9" spans="1:13" x14ac:dyDescent="0.3">
      <c r="B9" s="49">
        <v>10</v>
      </c>
      <c r="C9" s="9">
        <v>20</v>
      </c>
      <c r="D9" s="49">
        <v>3.5</v>
      </c>
      <c r="F9" s="47" t="s">
        <v>633</v>
      </c>
    </row>
    <row r="10" spans="1:13" x14ac:dyDescent="0.3">
      <c r="B10" s="49">
        <v>20</v>
      </c>
      <c r="C10" s="9">
        <v>30</v>
      </c>
      <c r="D10" s="49">
        <v>3.5</v>
      </c>
      <c r="F10" s="50" cm="1">
        <f t="array" ref="F10">AVERAGE(B9:B15*C9:C15/D9:D15)</f>
        <v>191.14285714285714</v>
      </c>
      <c r="G10" s="5" t="s">
        <v>634</v>
      </c>
    </row>
    <row r="11" spans="1:13" x14ac:dyDescent="0.3">
      <c r="B11" s="49">
        <v>30</v>
      </c>
      <c r="C11" s="9">
        <v>50</v>
      </c>
      <c r="D11" s="49">
        <v>3.5</v>
      </c>
    </row>
    <row r="12" spans="1:13" x14ac:dyDescent="0.3">
      <c r="B12" s="49">
        <v>25</v>
      </c>
      <c r="C12" s="9">
        <v>41</v>
      </c>
      <c r="D12" s="49">
        <v>3.5</v>
      </c>
    </row>
    <row r="13" spans="1:13" x14ac:dyDescent="0.3">
      <c r="B13" s="49">
        <v>15</v>
      </c>
      <c r="C13" s="9">
        <v>18</v>
      </c>
      <c r="D13" s="49">
        <v>3.5</v>
      </c>
    </row>
    <row r="14" spans="1:13" x14ac:dyDescent="0.3">
      <c r="B14" s="49">
        <v>18</v>
      </c>
      <c r="C14" s="9">
        <v>41</v>
      </c>
      <c r="D14" s="49">
        <v>3.5</v>
      </c>
    </row>
    <row r="15" spans="1:13" x14ac:dyDescent="0.3">
      <c r="B15" s="49">
        <v>14</v>
      </c>
      <c r="C15" s="9">
        <v>25</v>
      </c>
      <c r="D15" s="49">
        <v>3.5</v>
      </c>
    </row>
    <row r="19" spans="1:9" x14ac:dyDescent="0.3">
      <c r="A19" s="5">
        <v>2</v>
      </c>
      <c r="B19" s="5" t="s">
        <v>635</v>
      </c>
      <c r="C19" s="5">
        <f>INDEX(B22:E32,2,3)</f>
        <v>3</v>
      </c>
      <c r="D19" s="5" t="s">
        <v>636</v>
      </c>
      <c r="E19" s="5"/>
      <c r="F19" s="5"/>
      <c r="I19" s="28" t="s">
        <v>672</v>
      </c>
    </row>
    <row r="20" spans="1:9" x14ac:dyDescent="0.3">
      <c r="A20" s="5"/>
      <c r="B20" s="5"/>
      <c r="C20" s="5">
        <f>INDEX(B22:E32,4,4)</f>
        <v>12</v>
      </c>
      <c r="D20" s="5" t="s">
        <v>637</v>
      </c>
      <c r="E20" s="5"/>
      <c r="F20" s="5"/>
    </row>
    <row r="22" spans="1:9" x14ac:dyDescent="0.3">
      <c r="B22" s="51">
        <v>1</v>
      </c>
      <c r="C22" s="52">
        <v>10</v>
      </c>
      <c r="D22" s="52">
        <v>9</v>
      </c>
      <c r="E22" s="52">
        <v>8</v>
      </c>
    </row>
    <row r="23" spans="1:9" x14ac:dyDescent="0.3">
      <c r="B23" s="52">
        <v>23</v>
      </c>
      <c r="C23" s="52">
        <v>2</v>
      </c>
      <c r="D23" s="52">
        <v>3</v>
      </c>
      <c r="E23" s="52">
        <v>1</v>
      </c>
    </row>
    <row r="24" spans="1:9" x14ac:dyDescent="0.3">
      <c r="B24" s="52">
        <v>4</v>
      </c>
      <c r="C24" s="52">
        <v>5</v>
      </c>
      <c r="D24" s="52">
        <v>6</v>
      </c>
      <c r="E24" s="52">
        <v>7</v>
      </c>
    </row>
    <row r="25" spans="1:9" x14ac:dyDescent="0.3">
      <c r="B25" s="52">
        <v>8</v>
      </c>
      <c r="C25" s="52">
        <v>9</v>
      </c>
      <c r="D25" s="52">
        <v>11</v>
      </c>
      <c r="E25" s="52">
        <v>12</v>
      </c>
    </row>
    <row r="26" spans="1:9" x14ac:dyDescent="0.3">
      <c r="B26" s="52">
        <v>2</v>
      </c>
      <c r="C26" s="52">
        <v>5</v>
      </c>
      <c r="D26" s="52">
        <v>4</v>
      </c>
      <c r="E26" s="52">
        <v>3</v>
      </c>
    </row>
    <row r="27" spans="1:9" x14ac:dyDescent="0.3">
      <c r="B27" s="52">
        <v>5</v>
      </c>
      <c r="C27" s="52">
        <v>8</v>
      </c>
      <c r="D27" s="52">
        <v>9</v>
      </c>
      <c r="E27" s="52">
        <v>7</v>
      </c>
    </row>
    <row r="28" spans="1:9" x14ac:dyDescent="0.3">
      <c r="B28" s="52">
        <v>2</v>
      </c>
      <c r="C28" s="52">
        <v>3</v>
      </c>
      <c r="D28" s="52">
        <v>4</v>
      </c>
      <c r="E28" s="52">
        <v>5</v>
      </c>
    </row>
    <row r="29" spans="1:9" x14ac:dyDescent="0.3">
      <c r="B29" s="52">
        <v>4</v>
      </c>
      <c r="C29" s="52">
        <v>5</v>
      </c>
      <c r="D29" s="52">
        <v>8</v>
      </c>
      <c r="E29" s="52">
        <v>2</v>
      </c>
    </row>
    <row r="30" spans="1:9" x14ac:dyDescent="0.3">
      <c r="B30" s="52">
        <v>10</v>
      </c>
      <c r="C30" s="52">
        <v>3</v>
      </c>
      <c r="D30" s="52">
        <v>2</v>
      </c>
      <c r="E30" s="52">
        <v>1</v>
      </c>
    </row>
    <row r="31" spans="1:9" x14ac:dyDescent="0.3">
      <c r="B31" s="52">
        <v>12</v>
      </c>
      <c r="C31" s="52">
        <v>54</v>
      </c>
      <c r="D31" s="52">
        <v>25</v>
      </c>
      <c r="E31" s="52">
        <v>3</v>
      </c>
    </row>
    <row r="32" spans="1:9" x14ac:dyDescent="0.3">
      <c r="B32" s="52">
        <v>7</v>
      </c>
      <c r="C32" s="52">
        <v>9</v>
      </c>
      <c r="D32" s="52">
        <v>88</v>
      </c>
      <c r="E32" s="52">
        <v>7</v>
      </c>
    </row>
    <row r="35" spans="1:15" x14ac:dyDescent="0.3">
      <c r="A35" s="5">
        <v>3</v>
      </c>
      <c r="B35" s="5" t="s">
        <v>638</v>
      </c>
      <c r="C35" s="5" t="s">
        <v>639</v>
      </c>
      <c r="D35" s="5"/>
      <c r="E35" s="5"/>
      <c r="F35" s="5"/>
      <c r="G35" s="5"/>
      <c r="H35" s="5"/>
      <c r="I35" s="53"/>
      <c r="O35" s="28" t="s">
        <v>672</v>
      </c>
    </row>
    <row r="36" spans="1:15" x14ac:dyDescent="0.3">
      <c r="A36" s="5"/>
      <c r="B36" s="5"/>
      <c r="C36" s="5" t="s">
        <v>640</v>
      </c>
      <c r="D36" s="5"/>
      <c r="E36" s="5"/>
      <c r="F36" s="5"/>
      <c r="G36" s="5"/>
      <c r="H36" s="5"/>
      <c r="I36" s="53"/>
    </row>
    <row r="37" spans="1:15" ht="15" thickBot="1" x14ac:dyDescent="0.35">
      <c r="A37" s="5"/>
      <c r="B37" s="5"/>
      <c r="C37" s="5" t="s">
        <v>641</v>
      </c>
      <c r="D37" s="5"/>
      <c r="E37" s="5"/>
      <c r="F37" s="5"/>
      <c r="G37" s="5"/>
      <c r="H37" s="5"/>
      <c r="I37" s="53"/>
    </row>
    <row r="38" spans="1:15" ht="15" thickBot="1" x14ac:dyDescent="0.35">
      <c r="B38" s="54">
        <v>1</v>
      </c>
      <c r="C38" s="54">
        <v>10</v>
      </c>
      <c r="D38" s="54">
        <v>9</v>
      </c>
      <c r="E38" s="54">
        <v>8</v>
      </c>
      <c r="H38" s="54" cm="1">
        <f t="array" aca="1" ref="H38:K48" ca="1">OFFSET(E40,-2,-3,11,4)</f>
        <v>1</v>
      </c>
      <c r="I38" s="54">
        <f ca="1"/>
        <v>10</v>
      </c>
      <c r="J38" s="54">
        <f ca="1"/>
        <v>9</v>
      </c>
      <c r="K38" s="54">
        <f ca="1"/>
        <v>8</v>
      </c>
      <c r="M38" s="55" t="s">
        <v>609</v>
      </c>
      <c r="N38" s="112">
        <f ca="1">SUM(OFFSET(E40,-2,-3,11,4))</f>
        <v>416</v>
      </c>
    </row>
    <row r="39" spans="1:15" x14ac:dyDescent="0.3">
      <c r="B39" s="54">
        <v>23</v>
      </c>
      <c r="C39" s="54">
        <v>2</v>
      </c>
      <c r="D39" s="54">
        <v>3</v>
      </c>
      <c r="E39" s="54">
        <v>1</v>
      </c>
      <c r="H39" s="54">
        <f ca="1"/>
        <v>23</v>
      </c>
      <c r="I39" s="54">
        <f ca="1"/>
        <v>2</v>
      </c>
      <c r="J39" s="54">
        <f ca="1"/>
        <v>3</v>
      </c>
      <c r="K39" s="54">
        <f ca="1"/>
        <v>1</v>
      </c>
    </row>
    <row r="40" spans="1:15" x14ac:dyDescent="0.3">
      <c r="B40" s="54">
        <v>4</v>
      </c>
      <c r="C40" s="54">
        <v>5</v>
      </c>
      <c r="D40" s="54">
        <v>6</v>
      </c>
      <c r="E40" s="51">
        <v>7</v>
      </c>
      <c r="H40" s="54">
        <f ca="1"/>
        <v>4</v>
      </c>
      <c r="I40" s="54">
        <f ca="1"/>
        <v>5</v>
      </c>
      <c r="J40" s="54">
        <f ca="1"/>
        <v>6</v>
      </c>
      <c r="K40" s="54">
        <f ca="1"/>
        <v>7</v>
      </c>
    </row>
    <row r="41" spans="1:15" x14ac:dyDescent="0.3">
      <c r="B41" s="54">
        <v>8</v>
      </c>
      <c r="C41" s="54">
        <v>9</v>
      </c>
      <c r="D41" s="54">
        <v>11</v>
      </c>
      <c r="E41" s="54">
        <v>12</v>
      </c>
      <c r="H41" s="54">
        <f ca="1"/>
        <v>8</v>
      </c>
      <c r="I41" s="54">
        <f ca="1"/>
        <v>9</v>
      </c>
      <c r="J41" s="54">
        <f ca="1"/>
        <v>11</v>
      </c>
      <c r="K41" s="54">
        <f ca="1"/>
        <v>12</v>
      </c>
    </row>
    <row r="42" spans="1:15" x14ac:dyDescent="0.3">
      <c r="B42" s="54">
        <v>2</v>
      </c>
      <c r="C42" s="56">
        <v>5</v>
      </c>
      <c r="D42" s="54">
        <v>4</v>
      </c>
      <c r="E42" s="54">
        <v>3</v>
      </c>
      <c r="H42" s="54">
        <f ca="1"/>
        <v>2</v>
      </c>
      <c r="I42" s="56">
        <f ca="1"/>
        <v>5</v>
      </c>
      <c r="J42" s="54">
        <f ca="1"/>
        <v>4</v>
      </c>
      <c r="K42" s="54">
        <f ca="1"/>
        <v>3</v>
      </c>
    </row>
    <row r="43" spans="1:15" x14ac:dyDescent="0.3">
      <c r="B43" s="54">
        <v>5</v>
      </c>
      <c r="C43" s="54">
        <v>8</v>
      </c>
      <c r="D43" s="54">
        <v>9</v>
      </c>
      <c r="E43" s="54">
        <v>7</v>
      </c>
      <c r="H43" s="54">
        <f ca="1"/>
        <v>5</v>
      </c>
      <c r="I43" s="54">
        <f ca="1"/>
        <v>8</v>
      </c>
      <c r="J43" s="54">
        <f ca="1"/>
        <v>9</v>
      </c>
      <c r="K43" s="54">
        <f ca="1"/>
        <v>7</v>
      </c>
    </row>
    <row r="44" spans="1:15" x14ac:dyDescent="0.3">
      <c r="B44" s="54">
        <v>2</v>
      </c>
      <c r="C44" s="54">
        <v>3</v>
      </c>
      <c r="D44" s="54">
        <v>4</v>
      </c>
      <c r="E44" s="54">
        <v>5</v>
      </c>
      <c r="H44" s="54">
        <f ca="1"/>
        <v>2</v>
      </c>
      <c r="I44" s="54">
        <f ca="1"/>
        <v>3</v>
      </c>
      <c r="J44" s="54">
        <f ca="1"/>
        <v>4</v>
      </c>
      <c r="K44" s="54">
        <f ca="1"/>
        <v>5</v>
      </c>
    </row>
    <row r="45" spans="1:15" x14ac:dyDescent="0.3">
      <c r="B45" s="54">
        <v>4</v>
      </c>
      <c r="C45" s="54">
        <v>5</v>
      </c>
      <c r="D45" s="54">
        <v>8</v>
      </c>
      <c r="E45" s="54">
        <v>2</v>
      </c>
      <c r="H45" s="54">
        <f ca="1"/>
        <v>4</v>
      </c>
      <c r="I45" s="54">
        <f ca="1"/>
        <v>5</v>
      </c>
      <c r="J45" s="54">
        <f ca="1"/>
        <v>8</v>
      </c>
      <c r="K45" s="54">
        <f ca="1"/>
        <v>2</v>
      </c>
    </row>
    <row r="46" spans="1:15" x14ac:dyDescent="0.3">
      <c r="B46" s="54">
        <v>10</v>
      </c>
      <c r="C46" s="54">
        <v>3</v>
      </c>
      <c r="D46" s="54">
        <v>2</v>
      </c>
      <c r="E46" s="54">
        <v>1</v>
      </c>
      <c r="H46" s="54">
        <f ca="1"/>
        <v>10</v>
      </c>
      <c r="I46" s="54">
        <f ca="1"/>
        <v>3</v>
      </c>
      <c r="J46" s="54">
        <f ca="1"/>
        <v>2</v>
      </c>
      <c r="K46" s="54">
        <f ca="1"/>
        <v>1</v>
      </c>
    </row>
    <row r="47" spans="1:15" x14ac:dyDescent="0.3">
      <c r="B47" s="54">
        <v>12</v>
      </c>
      <c r="C47" s="54">
        <v>54</v>
      </c>
      <c r="D47" s="54">
        <v>25</v>
      </c>
      <c r="E47" s="54">
        <v>3</v>
      </c>
      <c r="H47" s="54">
        <f ca="1"/>
        <v>12</v>
      </c>
      <c r="I47" s="54">
        <f ca="1"/>
        <v>54</v>
      </c>
      <c r="J47" s="54">
        <f ca="1"/>
        <v>25</v>
      </c>
      <c r="K47" s="54">
        <f ca="1"/>
        <v>3</v>
      </c>
    </row>
    <row r="48" spans="1:15" x14ac:dyDescent="0.3">
      <c r="B48" s="54">
        <v>7</v>
      </c>
      <c r="C48" s="54">
        <v>9</v>
      </c>
      <c r="D48" s="54">
        <v>88</v>
      </c>
      <c r="E48" s="54">
        <v>7</v>
      </c>
      <c r="H48" s="54">
        <f ca="1"/>
        <v>7</v>
      </c>
      <c r="I48" s="54">
        <f ca="1"/>
        <v>9</v>
      </c>
      <c r="J48" s="54">
        <f ca="1"/>
        <v>88</v>
      </c>
      <c r="K48" s="54">
        <f ca="1"/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N28"/>
  <sheetViews>
    <sheetView topLeftCell="A4" workbookViewId="0">
      <selection activeCell="L8" sqref="L8:N13"/>
    </sheetView>
  </sheetViews>
  <sheetFormatPr baseColWidth="10" defaultRowHeight="14.4" x14ac:dyDescent="0.3"/>
  <cols>
    <col min="2" max="2" width="22" customWidth="1"/>
    <col min="4" max="4" width="18.6640625" customWidth="1"/>
    <col min="6" max="6" width="22.21875" bestFit="1" customWidth="1"/>
    <col min="7" max="7" width="12.6640625" bestFit="1" customWidth="1"/>
  </cols>
  <sheetData>
    <row r="3" spans="1:14" x14ac:dyDescent="0.3">
      <c r="A3" s="5">
        <v>1</v>
      </c>
      <c r="B3" s="5" t="s">
        <v>642</v>
      </c>
      <c r="L3" s="28" t="s">
        <v>672</v>
      </c>
    </row>
    <row r="4" spans="1:14" x14ac:dyDescent="0.3">
      <c r="A4" s="5">
        <v>2</v>
      </c>
      <c r="B4" s="5" t="s">
        <v>643</v>
      </c>
      <c r="L4" s="28" t="s">
        <v>672</v>
      </c>
    </row>
    <row r="7" spans="1:14" ht="15" thickBot="1" x14ac:dyDescent="0.35"/>
    <row r="8" spans="1:14" x14ac:dyDescent="0.3">
      <c r="B8" s="57" t="s">
        <v>644</v>
      </c>
      <c r="D8" s="57" t="s">
        <v>645</v>
      </c>
      <c r="F8" s="113" t="s">
        <v>644</v>
      </c>
      <c r="G8" s="113"/>
      <c r="I8" s="114" t="s">
        <v>645</v>
      </c>
      <c r="J8" s="114" t="s">
        <v>1024</v>
      </c>
      <c r="K8" s="114" t="s">
        <v>1025</v>
      </c>
      <c r="L8" s="119" t="s">
        <v>645</v>
      </c>
      <c r="M8" s="119" t="s">
        <v>1024</v>
      </c>
      <c r="N8" s="119" t="s">
        <v>1025</v>
      </c>
    </row>
    <row r="9" spans="1:14" x14ac:dyDescent="0.3">
      <c r="B9" s="58">
        <v>200</v>
      </c>
      <c r="D9" s="58">
        <v>100</v>
      </c>
      <c r="I9" s="115">
        <v>100</v>
      </c>
      <c r="J9" s="115">
        <v>1</v>
      </c>
      <c r="K9" s="116">
        <v>0.05</v>
      </c>
      <c r="L9" s="120">
        <v>200</v>
      </c>
      <c r="M9" s="120">
        <v>7</v>
      </c>
      <c r="N9" s="121">
        <v>0.35</v>
      </c>
    </row>
    <row r="10" spans="1:14" x14ac:dyDescent="0.3">
      <c r="B10" s="58">
        <v>300</v>
      </c>
      <c r="D10" s="58">
        <v>200</v>
      </c>
      <c r="F10" t="s">
        <v>1007</v>
      </c>
      <c r="G10">
        <v>248.5</v>
      </c>
      <c r="I10" s="115">
        <v>200</v>
      </c>
      <c r="J10" s="115">
        <v>7</v>
      </c>
      <c r="K10" s="116">
        <v>0.4</v>
      </c>
      <c r="L10" s="120">
        <v>300</v>
      </c>
      <c r="M10" s="120">
        <v>7</v>
      </c>
      <c r="N10" s="121">
        <v>0.7</v>
      </c>
    </row>
    <row r="11" spans="1:14" x14ac:dyDescent="0.3">
      <c r="B11" s="58">
        <v>200</v>
      </c>
      <c r="D11" s="58">
        <v>300</v>
      </c>
      <c r="F11" t="s">
        <v>1008</v>
      </c>
      <c r="G11">
        <v>20.186955141742818</v>
      </c>
      <c r="I11" s="115">
        <v>300</v>
      </c>
      <c r="J11" s="115">
        <v>7</v>
      </c>
      <c r="K11" s="116">
        <v>0.75</v>
      </c>
      <c r="L11" s="120">
        <v>400</v>
      </c>
      <c r="M11" s="120">
        <v>5</v>
      </c>
      <c r="N11" s="121">
        <v>0.95</v>
      </c>
    </row>
    <row r="12" spans="1:14" x14ac:dyDescent="0.3">
      <c r="B12" s="58">
        <v>350</v>
      </c>
      <c r="D12" s="58">
        <v>400</v>
      </c>
      <c r="F12" t="s">
        <v>1009</v>
      </c>
      <c r="G12">
        <v>250</v>
      </c>
      <c r="I12" s="115">
        <v>400</v>
      </c>
      <c r="J12" s="115">
        <v>5</v>
      </c>
      <c r="K12" s="116">
        <v>1</v>
      </c>
      <c r="L12" s="120">
        <v>100</v>
      </c>
      <c r="M12" s="120">
        <v>1</v>
      </c>
      <c r="N12" s="121">
        <v>1</v>
      </c>
    </row>
    <row r="13" spans="1:14" ht="15" thickBot="1" x14ac:dyDescent="0.35">
      <c r="B13" s="58">
        <v>100</v>
      </c>
      <c r="F13" t="s">
        <v>1010</v>
      </c>
      <c r="G13">
        <v>200</v>
      </c>
      <c r="I13" s="117" t="s">
        <v>1023</v>
      </c>
      <c r="J13" s="117">
        <v>0</v>
      </c>
      <c r="K13" s="118">
        <v>1</v>
      </c>
      <c r="L13" s="122" t="s">
        <v>1023</v>
      </c>
      <c r="M13" s="122">
        <v>0</v>
      </c>
      <c r="N13" s="123">
        <v>1</v>
      </c>
    </row>
    <row r="14" spans="1:14" x14ac:dyDescent="0.3">
      <c r="B14" s="58">
        <v>150</v>
      </c>
      <c r="F14" t="s">
        <v>1011</v>
      </c>
      <c r="G14">
        <v>90.278807911351691</v>
      </c>
    </row>
    <row r="15" spans="1:14" x14ac:dyDescent="0.3">
      <c r="B15" s="58">
        <v>130</v>
      </c>
      <c r="F15" t="s">
        <v>1012</v>
      </c>
      <c r="G15">
        <v>8150.2631578947367</v>
      </c>
    </row>
    <row r="16" spans="1:14" x14ac:dyDescent="0.3">
      <c r="B16" s="58">
        <v>250</v>
      </c>
      <c r="F16" t="s">
        <v>1013</v>
      </c>
      <c r="G16">
        <v>-1.0207830847135293</v>
      </c>
    </row>
    <row r="17" spans="2:7" x14ac:dyDescent="0.3">
      <c r="B17" s="58">
        <v>250</v>
      </c>
      <c r="F17" t="s">
        <v>1014</v>
      </c>
      <c r="G17">
        <v>0.14241766044843029</v>
      </c>
    </row>
    <row r="18" spans="2:7" x14ac:dyDescent="0.3">
      <c r="B18" s="58">
        <v>150</v>
      </c>
      <c r="F18" t="s">
        <v>1015</v>
      </c>
      <c r="G18">
        <v>300</v>
      </c>
    </row>
    <row r="19" spans="2:7" x14ac:dyDescent="0.3">
      <c r="B19" s="58">
        <v>150</v>
      </c>
      <c r="F19" t="s">
        <v>1016</v>
      </c>
      <c r="G19">
        <v>100</v>
      </c>
    </row>
    <row r="20" spans="2:7" x14ac:dyDescent="0.3">
      <c r="B20" s="58">
        <v>250</v>
      </c>
      <c r="F20" t="s">
        <v>1017</v>
      </c>
      <c r="G20">
        <v>400</v>
      </c>
    </row>
    <row r="21" spans="2:7" x14ac:dyDescent="0.3">
      <c r="B21" s="58">
        <v>300</v>
      </c>
      <c r="F21" t="s">
        <v>1018</v>
      </c>
      <c r="G21">
        <v>4970</v>
      </c>
    </row>
    <row r="22" spans="2:7" x14ac:dyDescent="0.3">
      <c r="B22" s="58">
        <v>400</v>
      </c>
      <c r="F22" t="s">
        <v>1019</v>
      </c>
      <c r="G22">
        <v>20</v>
      </c>
    </row>
    <row r="23" spans="2:7" x14ac:dyDescent="0.3">
      <c r="B23" s="58">
        <v>350</v>
      </c>
      <c r="F23" t="s">
        <v>1020</v>
      </c>
      <c r="G23">
        <v>400</v>
      </c>
    </row>
    <row r="24" spans="2:7" x14ac:dyDescent="0.3">
      <c r="B24" s="58">
        <v>330</v>
      </c>
      <c r="F24" t="s">
        <v>1021</v>
      </c>
      <c r="G24">
        <v>130</v>
      </c>
    </row>
    <row r="25" spans="2:7" ht="15" thickBot="1" x14ac:dyDescent="0.35">
      <c r="B25" s="58">
        <v>210</v>
      </c>
      <c r="F25" s="94" t="s">
        <v>1022</v>
      </c>
      <c r="G25" s="94">
        <v>42.251782696929205</v>
      </c>
    </row>
    <row r="26" spans="2:7" x14ac:dyDescent="0.3">
      <c r="B26" s="58">
        <v>200</v>
      </c>
    </row>
    <row r="27" spans="2:7" x14ac:dyDescent="0.3">
      <c r="B27" s="58">
        <v>400</v>
      </c>
    </row>
    <row r="28" spans="2:7" x14ac:dyDescent="0.3">
      <c r="B28" s="58">
        <v>300</v>
      </c>
    </row>
  </sheetData>
  <sortState xmlns:xlrd2="http://schemas.microsoft.com/office/spreadsheetml/2017/richdata2" ref="L9:M13">
    <sortCondition descending="1" ref="M9"/>
  </sortState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5:V29"/>
  <sheetViews>
    <sheetView tabSelected="1" zoomScale="85" zoomScaleNormal="85" workbookViewId="0">
      <selection activeCell="N28" sqref="N28:V29"/>
    </sheetView>
  </sheetViews>
  <sheetFormatPr baseColWidth="10" defaultRowHeight="14.4" x14ac:dyDescent="0.3"/>
  <cols>
    <col min="3" max="3" width="13.109375" bestFit="1" customWidth="1"/>
  </cols>
  <sheetData>
    <row r="5" spans="2:16" x14ac:dyDescent="0.3">
      <c r="B5" s="5"/>
    </row>
    <row r="6" spans="2:16" x14ac:dyDescent="0.3">
      <c r="B6" s="5"/>
    </row>
    <row r="8" spans="2:16" x14ac:dyDescent="0.3">
      <c r="B8" s="59" t="s">
        <v>646</v>
      </c>
      <c r="C8" s="59" t="s">
        <v>647</v>
      </c>
      <c r="E8" s="5">
        <v>1</v>
      </c>
      <c r="F8" s="5" t="s">
        <v>648</v>
      </c>
      <c r="K8" s="28" t="s">
        <v>672</v>
      </c>
    </row>
    <row r="9" spans="2:16" x14ac:dyDescent="0.3">
      <c r="B9" s="59">
        <v>2015</v>
      </c>
      <c r="C9" s="60">
        <v>25343</v>
      </c>
      <c r="E9" s="9">
        <v>2050</v>
      </c>
      <c r="F9" s="9">
        <f>_xlfn.FORECAST.LINEAR(E9,C9:C15,B9:B15)</f>
        <v>171759.42857142817</v>
      </c>
    </row>
    <row r="10" spans="2:16" x14ac:dyDescent="0.3">
      <c r="B10" s="59">
        <v>2016</v>
      </c>
      <c r="C10" s="60">
        <v>32543</v>
      </c>
    </row>
    <row r="11" spans="2:16" x14ac:dyDescent="0.3">
      <c r="B11" s="59">
        <v>2017</v>
      </c>
      <c r="C11" s="60">
        <v>52343</v>
      </c>
    </row>
    <row r="12" spans="2:16" x14ac:dyDescent="0.3">
      <c r="B12" s="59">
        <v>2018</v>
      </c>
      <c r="C12" s="60">
        <v>53454</v>
      </c>
    </row>
    <row r="13" spans="2:16" x14ac:dyDescent="0.3">
      <c r="B13" s="59">
        <v>2019</v>
      </c>
      <c r="C13" s="60">
        <v>63234</v>
      </c>
    </row>
    <row r="14" spans="2:16" x14ac:dyDescent="0.3">
      <c r="B14" s="59">
        <v>2020</v>
      </c>
      <c r="C14" s="60">
        <v>34323</v>
      </c>
      <c r="E14" s="5">
        <v>2</v>
      </c>
      <c r="F14" s="5" t="s">
        <v>649</v>
      </c>
      <c r="P14" s="28" t="s">
        <v>672</v>
      </c>
    </row>
    <row r="15" spans="2:16" x14ac:dyDescent="0.3">
      <c r="B15" s="59">
        <v>2021</v>
      </c>
      <c r="C15" s="60">
        <v>57348</v>
      </c>
      <c r="F15">
        <f>_xlfn.RANK.EQ(C12,C9:C15,1)</f>
        <v>5</v>
      </c>
    </row>
    <row r="19" spans="2:22" x14ac:dyDescent="0.3">
      <c r="B19" s="5">
        <v>3</v>
      </c>
      <c r="C19" s="5" t="s">
        <v>650</v>
      </c>
      <c r="P19" s="28" t="s">
        <v>672</v>
      </c>
    </row>
    <row r="20" spans="2:22" x14ac:dyDescent="0.3">
      <c r="C20" s="5" t="s">
        <v>651</v>
      </c>
    </row>
    <row r="23" spans="2:22" x14ac:dyDescent="0.3">
      <c r="D23" t="s">
        <v>1006</v>
      </c>
      <c r="E23">
        <f>RSQ(C9:C14,B9:B14)</f>
        <v>0.24747922687816684</v>
      </c>
      <c r="O23" s="124" t="s">
        <v>1029</v>
      </c>
      <c r="P23" s="124">
        <v>18.5</v>
      </c>
    </row>
    <row r="24" spans="2:22" x14ac:dyDescent="0.3">
      <c r="O24" s="124" t="s">
        <v>1030</v>
      </c>
      <c r="P24" s="124">
        <v>1.5</v>
      </c>
    </row>
    <row r="25" spans="2:22" x14ac:dyDescent="0.3">
      <c r="O25" s="124" t="s">
        <v>0</v>
      </c>
      <c r="P25" s="124">
        <f>SUM(P23:P24)</f>
        <v>20</v>
      </c>
    </row>
    <row r="28" spans="2:22" x14ac:dyDescent="0.3">
      <c r="N28" s="125" t="s">
        <v>1031</v>
      </c>
      <c r="O28" s="125" t="s">
        <v>1032</v>
      </c>
      <c r="P28" s="125" t="s">
        <v>1030</v>
      </c>
      <c r="Q28" s="125" t="s">
        <v>1033</v>
      </c>
      <c r="R28" s="125" t="s">
        <v>1034</v>
      </c>
      <c r="S28" s="125" t="s">
        <v>1035</v>
      </c>
      <c r="T28" s="125" t="s">
        <v>1036</v>
      </c>
      <c r="U28" s="125" t="s">
        <v>634</v>
      </c>
      <c r="V28" s="126" t="s">
        <v>1037</v>
      </c>
    </row>
    <row r="29" spans="2:22" x14ac:dyDescent="0.3">
      <c r="N29" s="127" t="s">
        <v>1038</v>
      </c>
      <c r="O29" s="128">
        <v>19</v>
      </c>
      <c r="P29" s="128">
        <v>1</v>
      </c>
      <c r="Q29" s="128">
        <v>18.5</v>
      </c>
      <c r="R29" s="128">
        <v>1.5</v>
      </c>
      <c r="S29" s="128">
        <v>18.5</v>
      </c>
      <c r="T29" s="128">
        <v>1.5</v>
      </c>
      <c r="U29" s="129">
        <v>20</v>
      </c>
      <c r="V29" s="130">
        <v>20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PREGUNTAS</vt:lpstr>
      <vt:lpstr>BASE1</vt:lpstr>
      <vt:lpstr>TD1</vt:lpstr>
      <vt:lpstr>TD2</vt:lpstr>
      <vt:lpstr>BLANCA</vt:lpstr>
      <vt:lpstr>COMPUTO</vt:lpstr>
      <vt:lpstr>TABLA_CONSOL</vt:lpstr>
      <vt:lpstr>MUJERES</vt:lpstr>
      <vt:lpstr>HOMBRES</vt:lpstr>
      <vt:lpstr>CONSOL</vt:lpstr>
      <vt:lpstr>CONSOL HOJA</vt:lpstr>
      <vt:lpstr>FORM_COND</vt:lpstr>
      <vt:lpstr>FORM_COND_FORM</vt:lpstr>
      <vt:lpstr>ADM_ESC</vt:lpstr>
      <vt:lpstr>Resumen del escenario</vt:lpstr>
      <vt:lpstr>SOLVER </vt:lpstr>
      <vt:lpstr>SOLVER2 </vt:lpstr>
      <vt:lpstr>TAB_DAT </vt:lpstr>
      <vt:lpstr>MATRIZ</vt:lpstr>
      <vt:lpstr>ESTAD</vt:lpstr>
      <vt:lpstr>PRONO_TEND</vt:lpstr>
      <vt:lpstr>Alquiler</vt:lpstr>
      <vt:lpstr>Marketing</vt:lpstr>
      <vt:lpstr>Publicidad</vt:lpstr>
      <vt:lpstr>Transporte</vt:lpstr>
      <vt:lpstr>UTILIDAD</vt:lpstr>
      <vt:lpstr>Viaticos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CAMARENA</dc:creator>
  <cp:lastModifiedBy>Alonso Manuel Pérez Guanilo</cp:lastModifiedBy>
  <dcterms:created xsi:type="dcterms:W3CDTF">2021-02-23T16:32:17Z</dcterms:created>
  <dcterms:modified xsi:type="dcterms:W3CDTF">2026-02-18T18:28:58Z</dcterms:modified>
</cp:coreProperties>
</file>