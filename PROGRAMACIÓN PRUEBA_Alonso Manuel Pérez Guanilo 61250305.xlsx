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Downloads\"/>
    </mc:Choice>
  </mc:AlternateContent>
  <xr:revisionPtr revIDLastSave="0" documentId="13_ncr:2001_{E275C02B-4714-406D-8C85-64B464F2B5A0}" xr6:coauthVersionLast="47" xr6:coauthVersionMax="47" xr10:uidLastSave="{00000000-0000-0000-0000-000000000000}"/>
  <bookViews>
    <workbookView xWindow="-108" yWindow="-108" windowWidth="23256" windowHeight="12456" xr2:uid="{712760FE-54A7-416C-A7B2-0C2513F50A5E}"/>
  </bookViews>
  <sheets>
    <sheet name="Hoja1" sheetId="1" r:id="rId1"/>
  </sheets>
  <definedNames>
    <definedName name="_xlnm._FilterDatabase" localSheetId="0" hidden="1">Hoja1!$A$12:$N$167</definedName>
    <definedName name="Breña">Hoja1!$C$89:$C$95</definedName>
    <definedName name="Comas">Hoja1!$C$97:$C$100</definedName>
    <definedName name="MT_Cajamarca">Hoja1!$C$78:$C$80</definedName>
    <definedName name="MT_Cañete">Hoja1!$C$46:$C$49</definedName>
    <definedName name="MT_Chincha">Hoja1!$C$51:$C$54</definedName>
    <definedName name="MT_Iquitos">Hoja1!$C$61:$C$65</definedName>
    <definedName name="MT_Iquitos_Premium">Hoja1!$C$67:$C$71</definedName>
    <definedName name="MT_Jaen">Hoja1!$C$73:$C$76</definedName>
    <definedName name="MT_Pisco">Hoja1!$C$56:$C$59</definedName>
    <definedName name="Star_Ayacucho">Hoja1!$C$151:$C$152</definedName>
    <definedName name="Star_Chimbote">Hoja1!$C$146:$C$149</definedName>
    <definedName name="Star_Chorrillos">Hoja1!$C$102:$C$105</definedName>
    <definedName name="Star_Chosica">Hoja1!$C$130:$C$132</definedName>
    <definedName name="Star_Excelsior">Hoja1!$C$82:$C$87</definedName>
    <definedName name="Star_Ilo">Hoja1!$C$142:$C$144</definedName>
    <definedName name="Star_Moquegua">Hoja1!$C$138:$C$140</definedName>
    <definedName name="Star_Porteño">Hoja1!$C$134:$C$136</definedName>
    <definedName name="Star_San_Juan">Hoja1!$C$122:$C$128</definedName>
    <definedName name="Star_Sullana">Hoja1!$C$157:$C$160</definedName>
    <definedName name="Star_Sur">Hoja1!$C$107:$C$112</definedName>
    <definedName name="Star_Tarapoto">Hoja1!$C$162:$C$167</definedName>
    <definedName name="Star_Tingo_María">Hoja1!$C$154:$C$155</definedName>
    <definedName name="Star_UNI">Hoja1!$C$114:$C$120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50" i="1"/>
  <c r="H88" i="1"/>
  <c r="H137" i="1"/>
  <c r="I150" i="1"/>
  <c r="J150" i="1" s="1"/>
  <c r="K150" i="1" s="1"/>
  <c r="L150" i="1" s="1"/>
  <c r="D84" i="1" a="1"/>
  <c r="D84" i="1" s="1"/>
  <c r="G84" i="1" s="1" a="1"/>
  <c r="G84" i="1" s="1"/>
  <c r="D83" i="1" a="1"/>
  <c r="D83" i="1" s="1"/>
  <c r="G83" i="1" s="1" a="1"/>
  <c r="G83" i="1" s="1"/>
  <c r="D85" i="1" a="1"/>
  <c r="D85" i="1" s="1"/>
  <c r="G85" i="1" s="1" a="1"/>
  <c r="G85" i="1" s="1"/>
  <c r="D86" i="1" a="1"/>
  <c r="D86" i="1" s="1"/>
  <c r="G86" i="1" s="1" a="1"/>
  <c r="G86" i="1" s="1"/>
  <c r="D87" i="1" a="1"/>
  <c r="D87" i="1" s="1"/>
  <c r="G87" i="1" s="1" a="1"/>
  <c r="G87" i="1" s="1"/>
  <c r="D82" i="1" a="1"/>
  <c r="D82" i="1" s="1"/>
  <c r="G82" i="1" s="1" a="1"/>
  <c r="G82" i="1" s="1"/>
  <c r="D163" i="1" a="1"/>
  <c r="D163" i="1" s="1"/>
  <c r="G163" i="1" s="1" a="1"/>
  <c r="G163" i="1" s="1"/>
  <c r="D164" i="1" a="1"/>
  <c r="D164" i="1" s="1"/>
  <c r="G164" i="1" s="1" a="1"/>
  <c r="G164" i="1" s="1"/>
  <c r="D165" i="1" a="1"/>
  <c r="D165" i="1" s="1"/>
  <c r="G165" i="1" s="1" a="1"/>
  <c r="G165" i="1" s="1"/>
  <c r="D166" i="1" a="1"/>
  <c r="D166" i="1" s="1"/>
  <c r="G166" i="1" s="1" a="1"/>
  <c r="G166" i="1" s="1"/>
  <c r="D167" i="1" a="1"/>
  <c r="D167" i="1" s="1"/>
  <c r="G167" i="1" s="1" a="1"/>
  <c r="G167" i="1" s="1"/>
  <c r="D162" i="1" a="1"/>
  <c r="D162" i="1" s="1"/>
  <c r="G162" i="1" s="1" a="1"/>
  <c r="G162" i="1" s="1"/>
  <c r="D158" i="1" a="1"/>
  <c r="D158" i="1" s="1"/>
  <c r="G158" i="1" s="1" a="1"/>
  <c r="G158" i="1" s="1"/>
  <c r="D159" i="1" a="1"/>
  <c r="D159" i="1" s="1"/>
  <c r="G159" i="1" s="1" a="1"/>
  <c r="G159" i="1" s="1"/>
  <c r="D160" i="1" a="1"/>
  <c r="D160" i="1" s="1"/>
  <c r="G160" i="1" s="1" a="1"/>
  <c r="G160" i="1" s="1"/>
  <c r="D157" i="1" a="1"/>
  <c r="D157" i="1" s="1"/>
  <c r="G157" i="1" s="1" a="1"/>
  <c r="G157" i="1" s="1"/>
  <c r="D155" i="1" a="1"/>
  <c r="D155" i="1" s="1"/>
  <c r="G155" i="1" s="1" a="1"/>
  <c r="G155" i="1" s="1"/>
  <c r="D154" i="1" a="1"/>
  <c r="D154" i="1" s="1"/>
  <c r="G154" i="1" s="1" a="1"/>
  <c r="G154" i="1" s="1"/>
  <c r="D152" i="1" a="1"/>
  <c r="D152" i="1" s="1"/>
  <c r="G152" i="1" s="1" a="1"/>
  <c r="G152" i="1" s="1"/>
  <c r="D151" i="1" a="1"/>
  <c r="D151" i="1" s="1"/>
  <c r="G151" i="1" s="1" a="1"/>
  <c r="G151" i="1" s="1"/>
  <c r="D147" i="1" a="1"/>
  <c r="D147" i="1" s="1"/>
  <c r="G147" i="1" s="1" a="1"/>
  <c r="G147" i="1" s="1"/>
  <c r="D148" i="1" a="1"/>
  <c r="D148" i="1" s="1"/>
  <c r="G148" i="1" s="1" a="1"/>
  <c r="G148" i="1" s="1"/>
  <c r="D149" i="1" a="1"/>
  <c r="D149" i="1" s="1"/>
  <c r="G149" i="1" s="1" a="1"/>
  <c r="G149" i="1" s="1"/>
  <c r="D146" i="1" a="1"/>
  <c r="D146" i="1" s="1"/>
  <c r="G146" i="1" s="1" a="1"/>
  <c r="G146" i="1" s="1"/>
  <c r="D143" i="1" a="1"/>
  <c r="D143" i="1" s="1"/>
  <c r="G143" i="1" s="1" a="1"/>
  <c r="G143" i="1" s="1"/>
  <c r="D144" i="1" a="1"/>
  <c r="D144" i="1" s="1"/>
  <c r="G144" i="1" s="1" a="1"/>
  <c r="G144" i="1" s="1"/>
  <c r="D142" i="1" a="1"/>
  <c r="D142" i="1" s="1"/>
  <c r="G142" i="1" s="1" a="1"/>
  <c r="G142" i="1" s="1"/>
  <c r="D139" i="1" a="1"/>
  <c r="D139" i="1" s="1"/>
  <c r="G139" i="1" s="1" a="1"/>
  <c r="G139" i="1" s="1"/>
  <c r="D140" i="1" a="1"/>
  <c r="D140" i="1" s="1"/>
  <c r="G140" i="1" s="1" a="1"/>
  <c r="G140" i="1" s="1"/>
  <c r="D138" i="1" a="1"/>
  <c r="D138" i="1" s="1"/>
  <c r="G138" i="1" s="1" a="1"/>
  <c r="G138" i="1" s="1"/>
  <c r="D135" i="1" a="1"/>
  <c r="D135" i="1" s="1"/>
  <c r="G135" i="1" s="1" a="1"/>
  <c r="G135" i="1" s="1"/>
  <c r="D136" i="1" a="1"/>
  <c r="D136" i="1" s="1"/>
  <c r="G136" i="1" s="1" a="1"/>
  <c r="G136" i="1" s="1"/>
  <c r="D134" i="1" a="1"/>
  <c r="D134" i="1" s="1"/>
  <c r="G134" i="1" s="1" a="1"/>
  <c r="G134" i="1" s="1"/>
  <c r="D131" i="1" a="1"/>
  <c r="D131" i="1" s="1"/>
  <c r="G131" i="1" s="1" a="1"/>
  <c r="G131" i="1" s="1"/>
  <c r="D132" i="1" a="1"/>
  <c r="D132" i="1" s="1"/>
  <c r="G132" i="1" s="1" a="1"/>
  <c r="G132" i="1" s="1"/>
  <c r="D130" i="1" a="1"/>
  <c r="D130" i="1" s="1"/>
  <c r="G130" i="1" s="1" a="1"/>
  <c r="G130" i="1" s="1"/>
  <c r="D123" i="1" a="1"/>
  <c r="D123" i="1" s="1"/>
  <c r="G123" i="1" s="1" a="1"/>
  <c r="G123" i="1" s="1"/>
  <c r="D124" i="1" a="1"/>
  <c r="D124" i="1" s="1"/>
  <c r="G124" i="1" s="1" a="1"/>
  <c r="G124" i="1" s="1"/>
  <c r="D125" i="1" a="1"/>
  <c r="D125" i="1" s="1"/>
  <c r="G125" i="1" s="1" a="1"/>
  <c r="G125" i="1" s="1"/>
  <c r="D126" i="1" a="1"/>
  <c r="D126" i="1" s="1"/>
  <c r="G126" i="1" s="1" a="1"/>
  <c r="G126" i="1" s="1"/>
  <c r="D127" i="1" a="1"/>
  <c r="D127" i="1" s="1"/>
  <c r="G127" i="1" s="1" a="1"/>
  <c r="G127" i="1" s="1"/>
  <c r="D128" i="1" a="1"/>
  <c r="D128" i="1" s="1"/>
  <c r="G128" i="1" s="1" a="1"/>
  <c r="G128" i="1" s="1"/>
  <c r="D122" i="1" a="1"/>
  <c r="D122" i="1" s="1"/>
  <c r="G122" i="1" s="1" a="1"/>
  <c r="G122" i="1" s="1"/>
  <c r="D115" i="1" a="1"/>
  <c r="D115" i="1" s="1"/>
  <c r="G115" i="1" s="1" a="1"/>
  <c r="G115" i="1" s="1"/>
  <c r="D116" i="1" a="1"/>
  <c r="D116" i="1" s="1"/>
  <c r="G116" i="1" s="1" a="1"/>
  <c r="G116" i="1" s="1"/>
  <c r="D117" i="1" a="1"/>
  <c r="D117" i="1" s="1"/>
  <c r="G117" i="1" s="1" a="1"/>
  <c r="G117" i="1" s="1"/>
  <c r="D118" i="1" a="1"/>
  <c r="D118" i="1" s="1"/>
  <c r="G118" i="1" s="1" a="1"/>
  <c r="G118" i="1" s="1"/>
  <c r="D119" i="1" a="1"/>
  <c r="D119" i="1" s="1"/>
  <c r="G119" i="1" s="1" a="1"/>
  <c r="G119" i="1" s="1"/>
  <c r="D120" i="1" a="1"/>
  <c r="D120" i="1" s="1"/>
  <c r="G120" i="1" s="1" a="1"/>
  <c r="G120" i="1" s="1"/>
  <c r="D114" i="1" a="1"/>
  <c r="D114" i="1" s="1"/>
  <c r="G114" i="1" s="1" a="1"/>
  <c r="G114" i="1" s="1"/>
  <c r="D108" i="1" a="1"/>
  <c r="D108" i="1" s="1"/>
  <c r="G108" i="1" s="1" a="1"/>
  <c r="G108" i="1" s="1"/>
  <c r="D109" i="1" a="1"/>
  <c r="D109" i="1" s="1"/>
  <c r="G109" i="1" s="1" a="1"/>
  <c r="G109" i="1" s="1"/>
  <c r="D110" i="1" a="1"/>
  <c r="D110" i="1" s="1"/>
  <c r="G110" i="1" s="1" a="1"/>
  <c r="G110" i="1" s="1"/>
  <c r="D111" i="1" a="1"/>
  <c r="D111" i="1" s="1"/>
  <c r="G111" i="1" s="1" a="1"/>
  <c r="G111" i="1" s="1"/>
  <c r="D112" i="1" a="1"/>
  <c r="D112" i="1" s="1"/>
  <c r="G112" i="1" s="1" a="1"/>
  <c r="G112" i="1" s="1"/>
  <c r="D107" i="1" a="1"/>
  <c r="D107" i="1" s="1"/>
  <c r="G107" i="1" s="1" a="1"/>
  <c r="G107" i="1" s="1"/>
  <c r="D103" i="1" a="1"/>
  <c r="D103" i="1" s="1"/>
  <c r="G103" i="1" s="1" a="1"/>
  <c r="G103" i="1" s="1"/>
  <c r="D104" i="1" a="1"/>
  <c r="D104" i="1" s="1"/>
  <c r="G104" i="1" s="1" a="1"/>
  <c r="G104" i="1" s="1"/>
  <c r="D105" i="1" a="1"/>
  <c r="D105" i="1" s="1"/>
  <c r="G105" i="1" s="1" a="1"/>
  <c r="G105" i="1" s="1"/>
  <c r="D102" i="1" a="1"/>
  <c r="D102" i="1" s="1"/>
  <c r="G102" i="1" s="1" a="1"/>
  <c r="G102" i="1" s="1"/>
  <c r="D98" i="1" a="1"/>
  <c r="D98" i="1" s="1"/>
  <c r="G98" i="1" s="1" a="1"/>
  <c r="G98" i="1" s="1"/>
  <c r="D99" i="1" a="1"/>
  <c r="D99" i="1" s="1"/>
  <c r="G99" i="1" s="1" a="1"/>
  <c r="G99" i="1" s="1"/>
  <c r="D100" i="1" a="1"/>
  <c r="D100" i="1" s="1"/>
  <c r="G100" i="1" s="1" a="1"/>
  <c r="G100" i="1" s="1"/>
  <c r="D97" i="1" a="1"/>
  <c r="D97" i="1" s="1"/>
  <c r="E97" i="1" s="1"/>
  <c r="H97" i="1" s="1"/>
  <c r="D90" i="1" a="1"/>
  <c r="D90" i="1" s="1"/>
  <c r="G90" i="1" s="1" a="1"/>
  <c r="G90" i="1" s="1"/>
  <c r="D91" i="1" a="1"/>
  <c r="D91" i="1" s="1"/>
  <c r="G91" i="1" s="1" a="1"/>
  <c r="G91" i="1" s="1"/>
  <c r="D92" i="1" a="1"/>
  <c r="D92" i="1" s="1"/>
  <c r="G92" i="1" s="1" a="1"/>
  <c r="G92" i="1" s="1"/>
  <c r="D93" i="1" a="1"/>
  <c r="D93" i="1" s="1"/>
  <c r="G93" i="1" s="1" a="1"/>
  <c r="G93" i="1" s="1"/>
  <c r="D94" i="1" a="1"/>
  <c r="D94" i="1" s="1"/>
  <c r="G94" i="1" s="1" a="1"/>
  <c r="G94" i="1" s="1"/>
  <c r="D95" i="1" a="1"/>
  <c r="D95" i="1" s="1"/>
  <c r="G95" i="1" s="1" a="1"/>
  <c r="G95" i="1" s="1"/>
  <c r="D89" i="1" a="1"/>
  <c r="D89" i="1" s="1"/>
  <c r="G89" i="1" s="1" a="1"/>
  <c r="G89" i="1" s="1"/>
  <c r="D78" i="1" a="1"/>
  <c r="D78" i="1" s="1"/>
  <c r="G78" i="1" s="1" a="1"/>
  <c r="G78" i="1" s="1"/>
  <c r="D79" i="1" a="1"/>
  <c r="D79" i="1" s="1"/>
  <c r="G79" i="1" s="1" a="1"/>
  <c r="G79" i="1" s="1"/>
  <c r="D80" i="1" a="1"/>
  <c r="D80" i="1" s="1"/>
  <c r="G80" i="1" s="1" a="1"/>
  <c r="G80" i="1" s="1"/>
  <c r="D74" i="1" a="1"/>
  <c r="D74" i="1" s="1"/>
  <c r="G74" i="1" s="1" a="1"/>
  <c r="G74" i="1" s="1"/>
  <c r="D75" i="1" a="1"/>
  <c r="D75" i="1" s="1"/>
  <c r="G75" i="1" s="1" a="1"/>
  <c r="G75" i="1" s="1"/>
  <c r="D76" i="1" a="1"/>
  <c r="D76" i="1" s="1"/>
  <c r="G76" i="1" s="1" a="1"/>
  <c r="G76" i="1" s="1"/>
  <c r="D68" i="1" a="1"/>
  <c r="D68" i="1" s="1"/>
  <c r="G68" i="1" s="1" a="1"/>
  <c r="G68" i="1" s="1"/>
  <c r="D69" i="1" a="1"/>
  <c r="D69" i="1" s="1"/>
  <c r="G69" i="1" s="1" a="1"/>
  <c r="G69" i="1" s="1"/>
  <c r="D70" i="1" a="1"/>
  <c r="D70" i="1" s="1"/>
  <c r="G70" i="1" s="1" a="1"/>
  <c r="G70" i="1" s="1"/>
  <c r="D71" i="1" a="1"/>
  <c r="D71" i="1" s="1"/>
  <c r="G71" i="1" s="1" a="1"/>
  <c r="G71" i="1" s="1"/>
  <c r="D67" i="1" a="1"/>
  <c r="D67" i="1" s="1"/>
  <c r="G67" i="1" s="1" a="1"/>
  <c r="G67" i="1" s="1"/>
  <c r="D73" i="1" a="1"/>
  <c r="D73" i="1" s="1"/>
  <c r="G73" i="1" s="1" a="1"/>
  <c r="G73" i="1" s="1"/>
  <c r="D62" i="1" a="1"/>
  <c r="D62" i="1" s="1"/>
  <c r="G62" i="1" s="1" a="1"/>
  <c r="G62" i="1" s="1"/>
  <c r="D63" i="1" a="1"/>
  <c r="D63" i="1" s="1"/>
  <c r="G63" i="1" s="1" a="1"/>
  <c r="G63" i="1" s="1"/>
  <c r="D64" i="1" a="1"/>
  <c r="D64" i="1" s="1"/>
  <c r="G64" i="1" s="1" a="1"/>
  <c r="G64" i="1" s="1"/>
  <c r="D65" i="1" a="1"/>
  <c r="D65" i="1" s="1"/>
  <c r="G65" i="1" s="1" a="1"/>
  <c r="G65" i="1" s="1"/>
  <c r="D61" i="1" a="1"/>
  <c r="D61" i="1" s="1"/>
  <c r="G61" i="1" s="1" a="1"/>
  <c r="G61" i="1" s="1"/>
  <c r="D57" i="1" a="1"/>
  <c r="D57" i="1" s="1"/>
  <c r="G57" i="1" s="1" a="1"/>
  <c r="G57" i="1" s="1"/>
  <c r="D58" i="1" a="1"/>
  <c r="D58" i="1" s="1"/>
  <c r="G58" i="1" s="1" a="1"/>
  <c r="G58" i="1" s="1"/>
  <c r="D59" i="1" a="1"/>
  <c r="D59" i="1" s="1"/>
  <c r="G59" i="1" s="1" a="1"/>
  <c r="G59" i="1" s="1"/>
  <c r="D56" i="1" a="1"/>
  <c r="D56" i="1" s="1"/>
  <c r="G56" i="1" s="1" a="1"/>
  <c r="G56" i="1" s="1"/>
  <c r="D52" i="1" a="1"/>
  <c r="D52" i="1" s="1"/>
  <c r="G52" i="1" s="1" a="1"/>
  <c r="G52" i="1" s="1"/>
  <c r="D53" i="1" a="1"/>
  <c r="D53" i="1" s="1"/>
  <c r="G53" i="1" s="1" a="1"/>
  <c r="G53" i="1" s="1"/>
  <c r="D54" i="1" a="1"/>
  <c r="D54" i="1" s="1"/>
  <c r="G54" i="1" s="1" a="1"/>
  <c r="G54" i="1" s="1"/>
  <c r="D51" i="1" a="1"/>
  <c r="D51" i="1" s="1"/>
  <c r="G51" i="1" s="1" a="1"/>
  <c r="G51" i="1" s="1"/>
  <c r="D47" i="1" a="1"/>
  <c r="D47" i="1" s="1"/>
  <c r="G47" i="1" s="1" a="1"/>
  <c r="G47" i="1" s="1"/>
  <c r="D48" i="1" a="1"/>
  <c r="D48" i="1" s="1"/>
  <c r="G48" i="1" s="1" a="1"/>
  <c r="G48" i="1" s="1"/>
  <c r="D49" i="1" a="1"/>
  <c r="D49" i="1" s="1"/>
  <c r="G49" i="1" s="1" a="1"/>
  <c r="G49" i="1" s="1"/>
  <c r="D46" i="1" a="1"/>
  <c r="D46" i="1" s="1"/>
  <c r="G46" i="1" s="1" a="1"/>
  <c r="G46" i="1" s="1"/>
  <c r="D43" i="1" a="1"/>
  <c r="D43" i="1" s="1"/>
  <c r="G43" i="1" s="1" a="1"/>
  <c r="G43" i="1" s="1"/>
  <c r="D41" i="1" a="1"/>
  <c r="D41" i="1" s="1"/>
  <c r="G41" i="1" s="1" a="1"/>
  <c r="G41" i="1" s="1"/>
  <c r="D36" i="1" a="1"/>
  <c r="D36" i="1" s="1"/>
  <c r="G36" i="1" s="1" a="1"/>
  <c r="G36" i="1" s="1"/>
  <c r="D37" i="1" a="1"/>
  <c r="D37" i="1" s="1"/>
  <c r="G37" i="1" s="1" a="1"/>
  <c r="G37" i="1" s="1"/>
  <c r="D38" i="1" a="1"/>
  <c r="D38" i="1" s="1"/>
  <c r="G38" i="1" s="1" a="1"/>
  <c r="G38" i="1" s="1"/>
  <c r="D39" i="1" a="1"/>
  <c r="D39" i="1" s="1"/>
  <c r="G39" i="1" s="1" a="1"/>
  <c r="G39" i="1" s="1"/>
  <c r="D34" i="1" a="1"/>
  <c r="D34" i="1" s="1"/>
  <c r="G34" i="1" s="1" a="1"/>
  <c r="G34" i="1" s="1"/>
  <c r="D30" i="1" a="1"/>
  <c r="D30" i="1" s="1"/>
  <c r="G30" i="1" s="1" a="1"/>
  <c r="G30" i="1" s="1"/>
  <c r="D31" i="1" a="1"/>
  <c r="D31" i="1" s="1"/>
  <c r="G31" i="1" s="1" a="1"/>
  <c r="G31" i="1" s="1"/>
  <c r="D32" i="1" a="1"/>
  <c r="D32" i="1" s="1"/>
  <c r="G32" i="1" s="1" a="1"/>
  <c r="G32" i="1" s="1"/>
  <c r="D33" i="1" a="1"/>
  <c r="D33" i="1" s="1"/>
  <c r="G33" i="1" s="1" a="1"/>
  <c r="G33" i="1" s="1"/>
  <c r="D29" i="1" a="1"/>
  <c r="D29" i="1" s="1"/>
  <c r="G29" i="1" s="1" a="1"/>
  <c r="G29" i="1" s="1"/>
  <c r="D25" i="1" a="1"/>
  <c r="D25" i="1" s="1"/>
  <c r="G25" i="1" s="1" a="1"/>
  <c r="G25" i="1" s="1"/>
  <c r="D26" i="1" a="1"/>
  <c r="D26" i="1" s="1"/>
  <c r="G26" i="1" s="1" a="1"/>
  <c r="G26" i="1" s="1"/>
  <c r="D27" i="1" a="1"/>
  <c r="D27" i="1" s="1"/>
  <c r="G27" i="1" s="1" a="1"/>
  <c r="G27" i="1" s="1"/>
  <c r="D19" i="1" a="1"/>
  <c r="D19" i="1" s="1"/>
  <c r="G19" i="1" s="1" a="1"/>
  <c r="G19" i="1" s="1"/>
  <c r="D20" i="1" a="1"/>
  <c r="D20" i="1" s="1"/>
  <c r="G20" i="1" s="1" a="1"/>
  <c r="G20" i="1" s="1"/>
  <c r="D21" i="1" a="1"/>
  <c r="D21" i="1" s="1"/>
  <c r="G21" i="1" s="1" a="1"/>
  <c r="G21" i="1" s="1"/>
  <c r="D22" i="1" a="1"/>
  <c r="D22" i="1" s="1"/>
  <c r="G22" i="1" s="1" a="1"/>
  <c r="G22" i="1" s="1"/>
  <c r="D23" i="1" a="1"/>
  <c r="D23" i="1" s="1"/>
  <c r="G23" i="1" s="1" a="1"/>
  <c r="G23" i="1" s="1"/>
  <c r="D13" i="1" a="1"/>
  <c r="D13" i="1" s="1"/>
  <c r="G13" i="1" s="1" a="1"/>
  <c r="G13" i="1" s="1"/>
  <c r="D14" i="1" a="1"/>
  <c r="D14" i="1" s="1"/>
  <c r="G14" i="1" s="1" a="1"/>
  <c r="G14" i="1" s="1"/>
  <c r="D15" i="1" a="1"/>
  <c r="D15" i="1" s="1"/>
  <c r="G15" i="1" s="1" a="1"/>
  <c r="G15" i="1" s="1"/>
  <c r="D16" i="1" a="1"/>
  <c r="D16" i="1" s="1"/>
  <c r="G16" i="1" s="1" a="1"/>
  <c r="G16" i="1" s="1"/>
  <c r="D17" i="1" a="1"/>
  <c r="D17" i="1" s="1"/>
  <c r="G17" i="1" s="1" a="1"/>
  <c r="G17" i="1" s="1"/>
  <c r="G42" i="1" l="1" a="1"/>
  <c r="G42" i="1" s="1"/>
  <c r="G97" i="1" a="1"/>
  <c r="G97" i="1" s="1"/>
  <c r="G44" i="1" a="1"/>
  <c r="G44" i="1" s="1"/>
  <c r="N143" i="1"/>
  <c r="N104" i="1"/>
  <c r="N65" i="1"/>
  <c r="N26" i="1"/>
  <c r="N21" i="1"/>
  <c r="F84" i="1"/>
  <c r="N20" i="1"/>
  <c r="N142" i="1"/>
  <c r="N122" i="1"/>
  <c r="N117" i="1"/>
  <c r="N98" i="1"/>
  <c r="N84" i="1"/>
  <c r="N79" i="1"/>
  <c r="N59" i="1"/>
  <c r="N44" i="1"/>
  <c r="N39" i="1"/>
  <c r="N167" i="1"/>
  <c r="N158" i="1"/>
  <c r="N151" i="1"/>
  <c r="N135" i="1"/>
  <c r="N130" i="1"/>
  <c r="N111" i="1"/>
  <c r="N97" i="1"/>
  <c r="N92" i="1"/>
  <c r="N73" i="1"/>
  <c r="N58" i="1"/>
  <c r="N53" i="1"/>
  <c r="N33" i="1"/>
  <c r="N23" i="1"/>
  <c r="N19" i="1"/>
  <c r="N165" i="1"/>
  <c r="N149" i="1"/>
  <c r="N144" i="1"/>
  <c r="N124" i="1"/>
  <c r="N110" i="1"/>
  <c r="N105" i="1"/>
  <c r="N86" i="1"/>
  <c r="N71" i="1"/>
  <c r="N67" i="1"/>
  <c r="N47" i="1"/>
  <c r="N32" i="1"/>
  <c r="N27" i="1"/>
  <c r="N22" i="1"/>
  <c r="F123" i="1"/>
  <c r="F49" i="1"/>
  <c r="F34" i="1"/>
  <c r="N13" i="1"/>
  <c r="E13" i="1"/>
  <c r="H13" i="1" s="1"/>
  <c r="F17" i="1"/>
  <c r="F15" i="1"/>
  <c r="G6" i="1"/>
  <c r="F33" i="1" s="1"/>
  <c r="G7" i="1"/>
  <c r="F97" i="1" s="1"/>
  <c r="I97" i="1" s="1"/>
  <c r="G8" i="1"/>
  <c r="F100" i="1" s="1"/>
  <c r="G9" i="1"/>
  <c r="F63" i="1" s="1"/>
  <c r="J97" i="1" l="1"/>
  <c r="K97" i="1" s="1"/>
  <c r="L97" i="1" s="1"/>
  <c r="F20" i="1"/>
  <c r="F59" i="1"/>
  <c r="F143" i="1"/>
  <c r="F85" i="1"/>
  <c r="F31" i="1"/>
  <c r="F67" i="1"/>
  <c r="F105" i="1"/>
  <c r="F144" i="1"/>
  <c r="F27" i="1"/>
  <c r="F107" i="1"/>
  <c r="F151" i="1"/>
  <c r="F146" i="1"/>
  <c r="F38" i="1"/>
  <c r="F112" i="1"/>
  <c r="F152" i="1"/>
  <c r="F148" i="1"/>
  <c r="F94" i="1"/>
  <c r="F41" i="1"/>
  <c r="F71" i="1"/>
  <c r="F110" i="1"/>
  <c r="F149" i="1"/>
  <c r="F32" i="1"/>
  <c r="F68" i="1"/>
  <c r="F111" i="1"/>
  <c r="F157" i="1"/>
  <c r="F162" i="1"/>
  <c r="F43" i="1"/>
  <c r="F103" i="1"/>
  <c r="F147" i="1"/>
  <c r="F14" i="1"/>
  <c r="F30" i="1"/>
  <c r="F90" i="1"/>
  <c r="F159" i="1"/>
  <c r="F109" i="1"/>
  <c r="F56" i="1"/>
  <c r="F76" i="1"/>
  <c r="F115" i="1"/>
  <c r="F155" i="1"/>
  <c r="F37" i="1"/>
  <c r="F73" i="1"/>
  <c r="F116" i="1"/>
  <c r="F166" i="1"/>
  <c r="F48" i="1"/>
  <c r="F64" i="1"/>
  <c r="F126" i="1"/>
  <c r="F131" i="1"/>
  <c r="F25" i="1"/>
  <c r="N25" i="1" s="1"/>
  <c r="F99" i="1"/>
  <c r="F26" i="1"/>
  <c r="F118" i="1"/>
  <c r="F21" i="1"/>
  <c r="F82" i="1"/>
  <c r="F119" i="1"/>
  <c r="F160" i="1"/>
  <c r="F42" i="1"/>
  <c r="F78" i="1"/>
  <c r="F120" i="1"/>
  <c r="F69" i="1"/>
  <c r="F98" i="1"/>
  <c r="F53" i="1"/>
  <c r="F74" i="1"/>
  <c r="F158" i="1"/>
  <c r="F13" i="1"/>
  <c r="F75" i="1"/>
  <c r="F16" i="1"/>
  <c r="F39" i="1"/>
  <c r="F104" i="1"/>
  <c r="F36" i="1"/>
  <c r="F127" i="1"/>
  <c r="F86" i="1"/>
  <c r="F124" i="1"/>
  <c r="F165" i="1"/>
  <c r="F47" i="1"/>
  <c r="F83" i="1"/>
  <c r="F125" i="1"/>
  <c r="F79" i="1"/>
  <c r="F19" i="1"/>
  <c r="N138" i="1" s="1"/>
  <c r="F58" i="1"/>
  <c r="F89" i="1"/>
  <c r="F142" i="1"/>
  <c r="F44" i="1"/>
  <c r="F114" i="1"/>
  <c r="F46" i="1"/>
  <c r="F65" i="1"/>
  <c r="F138" i="1"/>
  <c r="F91" i="1"/>
  <c r="F128" i="1"/>
  <c r="F52" i="1"/>
  <c r="F87" i="1"/>
  <c r="F130" i="1"/>
  <c r="F93" i="1"/>
  <c r="F23" i="1"/>
  <c r="F108" i="1"/>
  <c r="F117" i="1"/>
  <c r="F70" i="1"/>
  <c r="F154" i="1"/>
  <c r="F95" i="1"/>
  <c r="F134" i="1"/>
  <c r="F57" i="1"/>
  <c r="F92" i="1"/>
  <c r="F135" i="1"/>
  <c r="F29" i="1"/>
  <c r="F167" i="1"/>
  <c r="F136" i="1"/>
  <c r="F51" i="1"/>
  <c r="F54" i="1"/>
  <c r="F132" i="1"/>
  <c r="F61" i="1"/>
  <c r="F80" i="1"/>
  <c r="F164" i="1"/>
  <c r="F139" i="1"/>
  <c r="F22" i="1"/>
  <c r="F62" i="1"/>
  <c r="F102" i="1"/>
  <c r="F140" i="1"/>
  <c r="F163" i="1"/>
  <c r="F122" i="1"/>
  <c r="E20" i="1"/>
  <c r="H20" i="1" s="1"/>
  <c r="N15" i="1"/>
  <c r="N14" i="1"/>
  <c r="N16" i="1"/>
  <c r="N17" i="1"/>
  <c r="N31" i="1"/>
  <c r="N148" i="1"/>
  <c r="N37" i="1"/>
  <c r="N76" i="1"/>
  <c r="N115" i="1"/>
  <c r="N155" i="1"/>
  <c r="N63" i="1"/>
  <c r="N102" i="1"/>
  <c r="N140" i="1"/>
  <c r="N49" i="1"/>
  <c r="N89" i="1"/>
  <c r="N126" i="1"/>
  <c r="N36" i="1"/>
  <c r="N75" i="1"/>
  <c r="N114" i="1"/>
  <c r="N154" i="1"/>
  <c r="N70" i="1"/>
  <c r="N109" i="1"/>
  <c r="N42" i="1"/>
  <c r="N82" i="1"/>
  <c r="N119" i="1"/>
  <c r="N160" i="1"/>
  <c r="N29" i="1"/>
  <c r="N68" i="1"/>
  <c r="N107" i="1"/>
  <c r="N146" i="1"/>
  <c r="N54" i="1"/>
  <c r="N93" i="1"/>
  <c r="N131" i="1"/>
  <c r="N41" i="1"/>
  <c r="N80" i="1"/>
  <c r="N118" i="1"/>
  <c r="N159" i="1"/>
  <c r="N46" i="1"/>
  <c r="N164" i="1"/>
  <c r="N123" i="1"/>
  <c r="N52" i="1"/>
  <c r="N91" i="1"/>
  <c r="N128" i="1"/>
  <c r="N38" i="1"/>
  <c r="N78" i="1"/>
  <c r="N116" i="1"/>
  <c r="N157" i="1"/>
  <c r="N64" i="1"/>
  <c r="N103" i="1"/>
  <c r="N147" i="1"/>
  <c r="N51" i="1"/>
  <c r="N90" i="1"/>
  <c r="N127" i="1"/>
  <c r="N85" i="1"/>
  <c r="N57" i="1"/>
  <c r="N95" i="1"/>
  <c r="N134" i="1"/>
  <c r="N43" i="1"/>
  <c r="N83" i="1"/>
  <c r="N120" i="1"/>
  <c r="N162" i="1"/>
  <c r="N30" i="1"/>
  <c r="N69" i="1"/>
  <c r="N108" i="1"/>
  <c r="N152" i="1"/>
  <c r="N56" i="1"/>
  <c r="N94" i="1"/>
  <c r="N132" i="1"/>
  <c r="N62" i="1"/>
  <c r="N100" i="1"/>
  <c r="N139" i="1"/>
  <c r="N48" i="1"/>
  <c r="N87" i="1"/>
  <c r="N125" i="1"/>
  <c r="N166" i="1"/>
  <c r="N136" i="1"/>
  <c r="N34" i="1"/>
  <c r="N74" i="1"/>
  <c r="N112" i="1"/>
  <c r="N163" i="1"/>
  <c r="N61" i="1"/>
  <c r="N99" i="1"/>
  <c r="E23" i="1"/>
  <c r="H23" i="1" s="1"/>
  <c r="E21" i="1"/>
  <c r="H21" i="1" s="1"/>
  <c r="E22" i="1"/>
  <c r="H22" i="1" s="1"/>
  <c r="E17" i="1"/>
  <c r="E14" i="1"/>
  <c r="E16" i="1"/>
  <c r="E15" i="1"/>
  <c r="H16" i="1" l="1"/>
  <c r="I16" i="1" s="1"/>
  <c r="J16" i="1" s="1"/>
  <c r="K16" i="1" s="1"/>
  <c r="L16" i="1" s="1"/>
  <c r="H15" i="1"/>
  <c r="I15" i="1" s="1"/>
  <c r="J15" i="1" s="1"/>
  <c r="K15" i="1" s="1"/>
  <c r="L15" i="1" s="1"/>
  <c r="H14" i="1"/>
  <c r="I14" i="1" s="1"/>
  <c r="J14" i="1" s="1"/>
  <c r="K14" i="1" s="1"/>
  <c r="L14" i="1" s="1"/>
  <c r="H17" i="1"/>
  <c r="I17" i="1" s="1"/>
  <c r="J17" i="1" s="1"/>
  <c r="K17" i="1" s="1"/>
  <c r="L17" i="1" s="1"/>
  <c r="M97" i="1"/>
  <c r="I13" i="1"/>
  <c r="J13" i="1" s="1"/>
  <c r="K13" i="1" s="1"/>
  <c r="L13" i="1" s="1"/>
  <c r="I21" i="1" l="1"/>
  <c r="J21" i="1" s="1"/>
  <c r="K21" i="1" s="1"/>
  <c r="L21" i="1" s="1"/>
  <c r="I20" i="1"/>
  <c r="J20" i="1" s="1"/>
  <c r="K20" i="1" s="1"/>
  <c r="L20" i="1" s="1"/>
  <c r="I23" i="1"/>
  <c r="J23" i="1" s="1"/>
  <c r="K23" i="1" s="1"/>
  <c r="L23" i="1" s="1"/>
  <c r="I22" i="1"/>
  <c r="J22" i="1" s="1"/>
  <c r="K22" i="1" s="1"/>
  <c r="L22" i="1" s="1"/>
  <c r="E25" i="1"/>
  <c r="H25" i="1" s="1"/>
  <c r="E74" i="1"/>
  <c r="H74" i="1" s="1"/>
  <c r="E44" i="1"/>
  <c r="H44" i="1" s="1"/>
  <c r="E48" i="1"/>
  <c r="H48" i="1" s="1"/>
  <c r="E64" i="1"/>
  <c r="H64" i="1" s="1"/>
  <c r="E26" i="1"/>
  <c r="H26" i="1" s="1"/>
  <c r="E116" i="1"/>
  <c r="H116" i="1" s="1"/>
  <c r="E155" i="1"/>
  <c r="H155" i="1" s="1"/>
  <c r="E146" i="1"/>
  <c r="H146" i="1" s="1"/>
  <c r="E164" i="1"/>
  <c r="H164" i="1" s="1"/>
  <c r="E47" i="1"/>
  <c r="H47" i="1" s="1"/>
  <c r="E117" i="1"/>
  <c r="H117" i="1" s="1"/>
  <c r="E130" i="1"/>
  <c r="H130" i="1" s="1"/>
  <c r="E147" i="1"/>
  <c r="H147" i="1" s="1"/>
  <c r="E32" i="1"/>
  <c r="H32" i="1" s="1"/>
  <c r="E53" i="1"/>
  <c r="H53" i="1" s="1"/>
  <c r="E160" i="1"/>
  <c r="H160" i="1" s="1"/>
  <c r="E78" i="1"/>
  <c r="H78" i="1" s="1"/>
  <c r="E86" i="1"/>
  <c r="H86" i="1" s="1"/>
  <c r="E107" i="1"/>
  <c r="H107" i="1" s="1"/>
  <c r="E123" i="1"/>
  <c r="H123" i="1" s="1"/>
  <c r="E49" i="1"/>
  <c r="H49" i="1" s="1"/>
  <c r="E163" i="1"/>
  <c r="H163" i="1" s="1"/>
  <c r="E139" i="1"/>
  <c r="H139" i="1" s="1"/>
  <c r="E79" i="1"/>
  <c r="H79" i="1" s="1"/>
  <c r="E92" i="1"/>
  <c r="H92" i="1" s="1"/>
  <c r="E108" i="1"/>
  <c r="H108" i="1" s="1"/>
  <c r="E105" i="1"/>
  <c r="H105" i="1" s="1"/>
  <c r="E162" i="1"/>
  <c r="H162" i="1" s="1"/>
  <c r="E91" i="1"/>
  <c r="H91" i="1" s="1"/>
  <c r="E29" i="1"/>
  <c r="H29" i="1" s="1"/>
  <c r="E132" i="1"/>
  <c r="H132" i="1" s="1"/>
  <c r="E68" i="1"/>
  <c r="H68" i="1" s="1"/>
  <c r="E85" i="1"/>
  <c r="H85" i="1" s="1"/>
  <c r="E135" i="1"/>
  <c r="H135" i="1" s="1"/>
  <c r="E158" i="1"/>
  <c r="H158" i="1" s="1"/>
  <c r="E46" i="1"/>
  <c r="H46" i="1" s="1"/>
  <c r="E69" i="1"/>
  <c r="H69" i="1" s="1"/>
  <c r="E120" i="1"/>
  <c r="H120" i="1" s="1"/>
  <c r="E62" i="1"/>
  <c r="H62" i="1" s="1"/>
  <c r="E52" i="1"/>
  <c r="H52" i="1" s="1"/>
  <c r="E84" i="1"/>
  <c r="E128" i="1"/>
  <c r="H128" i="1" s="1"/>
  <c r="E37" i="1"/>
  <c r="H37" i="1" s="1"/>
  <c r="E63" i="1"/>
  <c r="H63" i="1" s="1"/>
  <c r="E100" i="1"/>
  <c r="H100" i="1" s="1"/>
  <c r="E83" i="1"/>
  <c r="H83" i="1" s="1"/>
  <c r="E136" i="1"/>
  <c r="H136" i="1" s="1"/>
  <c r="E167" i="1"/>
  <c r="H167" i="1" s="1"/>
  <c r="E149" i="1"/>
  <c r="H149" i="1" s="1"/>
  <c r="E102" i="1"/>
  <c r="H102" i="1" s="1"/>
  <c r="E122" i="1"/>
  <c r="H122" i="1" s="1"/>
  <c r="E58" i="1"/>
  <c r="H58" i="1" s="1"/>
  <c r="E31" i="1"/>
  <c r="H31" i="1" s="1"/>
  <c r="E34" i="1"/>
  <c r="H34" i="1" s="1"/>
  <c r="E94" i="1"/>
  <c r="H94" i="1" s="1"/>
  <c r="E59" i="1"/>
  <c r="H59" i="1" s="1"/>
  <c r="E159" i="1"/>
  <c r="H159" i="1" s="1"/>
  <c r="E54" i="1"/>
  <c r="H54" i="1" s="1"/>
  <c r="E115" i="1"/>
  <c r="H115" i="1" s="1"/>
  <c r="E166" i="1"/>
  <c r="H166" i="1" s="1"/>
  <c r="E39" i="1"/>
  <c r="H39" i="1" s="1"/>
  <c r="E38" i="1"/>
  <c r="H38" i="1" s="1"/>
  <c r="E98" i="1"/>
  <c r="H98" i="1" s="1"/>
  <c r="E82" i="1"/>
  <c r="H82" i="1" s="1"/>
  <c r="E126" i="1"/>
  <c r="H126" i="1" s="1"/>
  <c r="E51" i="1"/>
  <c r="H51" i="1" s="1"/>
  <c r="E118" i="1"/>
  <c r="H118" i="1" s="1"/>
  <c r="E36" i="1"/>
  <c r="H36" i="1" s="1"/>
  <c r="E125" i="1"/>
  <c r="H125" i="1" s="1"/>
  <c r="E142" i="1"/>
  <c r="H142" i="1" s="1"/>
  <c r="E27" i="1"/>
  <c r="H27" i="1" s="1"/>
  <c r="E43" i="1"/>
  <c r="H43" i="1" s="1"/>
  <c r="E61" i="1"/>
  <c r="H61" i="1" s="1"/>
  <c r="E89" i="1"/>
  <c r="H89" i="1" s="1"/>
  <c r="E134" i="1"/>
  <c r="H134" i="1" s="1"/>
  <c r="E152" i="1"/>
  <c r="H152" i="1" s="1"/>
  <c r="E140" i="1"/>
  <c r="H140" i="1" s="1"/>
  <c r="E80" i="1"/>
  <c r="H80" i="1" s="1"/>
  <c r="E112" i="1"/>
  <c r="H112" i="1" s="1"/>
  <c r="E110" i="1"/>
  <c r="H110" i="1" s="1"/>
  <c r="E87" i="1"/>
  <c r="H87" i="1" s="1"/>
  <c r="E103" i="1"/>
  <c r="H103" i="1" s="1"/>
  <c r="E95" i="1"/>
  <c r="H95" i="1" s="1"/>
  <c r="E157" i="1"/>
  <c r="H157" i="1" s="1"/>
  <c r="E71" i="1"/>
  <c r="H71" i="1" s="1"/>
  <c r="E42" i="1"/>
  <c r="H42" i="1" s="1"/>
  <c r="E138" i="1"/>
  <c r="H138" i="1" s="1"/>
  <c r="E57" i="1"/>
  <c r="H57" i="1" s="1"/>
  <c r="E75" i="1"/>
  <c r="H75" i="1" s="1"/>
  <c r="E143" i="1"/>
  <c r="H143" i="1" s="1"/>
  <c r="E90" i="1"/>
  <c r="H90" i="1" s="1"/>
  <c r="E148" i="1"/>
  <c r="H148" i="1" s="1"/>
  <c r="E73" i="1"/>
  <c r="H73" i="1" s="1"/>
  <c r="E33" i="1"/>
  <c r="H33" i="1" s="1"/>
  <c r="E70" i="1"/>
  <c r="H70" i="1" s="1"/>
  <c r="E76" i="1"/>
  <c r="H76" i="1" s="1"/>
  <c r="E111" i="1"/>
  <c r="H111" i="1" s="1"/>
  <c r="E104" i="1"/>
  <c r="H104" i="1" s="1"/>
  <c r="E119" i="1"/>
  <c r="H119" i="1" s="1"/>
  <c r="E41" i="1"/>
  <c r="H41" i="1" s="1"/>
  <c r="E67" i="1"/>
  <c r="H67" i="1" s="1"/>
  <c r="E151" i="1"/>
  <c r="H151" i="1" s="1"/>
  <c r="E93" i="1"/>
  <c r="H93" i="1" s="1"/>
  <c r="E30" i="1"/>
  <c r="H30" i="1" s="1"/>
  <c r="E65" i="1"/>
  <c r="H65" i="1" s="1"/>
  <c r="E99" i="1"/>
  <c r="H99" i="1" s="1"/>
  <c r="E109" i="1"/>
  <c r="H109" i="1" s="1"/>
  <c r="E144" i="1"/>
  <c r="H144" i="1" s="1"/>
  <c r="E56" i="1"/>
  <c r="H56" i="1" s="1"/>
  <c r="E124" i="1"/>
  <c r="H124" i="1" s="1"/>
  <c r="E131" i="1"/>
  <c r="H131" i="1" s="1"/>
  <c r="E127" i="1"/>
  <c r="H127" i="1" s="1"/>
  <c r="E154" i="1"/>
  <c r="H154" i="1" s="1"/>
  <c r="E114" i="1"/>
  <c r="H114" i="1" s="1"/>
  <c r="E19" i="1"/>
  <c r="H19" i="1" s="1"/>
  <c r="E165" i="1"/>
  <c r="H165" i="1" s="1"/>
  <c r="H84" i="1" l="1"/>
  <c r="I84" i="1" s="1"/>
  <c r="J84" i="1" s="1"/>
  <c r="K84" i="1" s="1"/>
  <c r="L84" i="1" s="1"/>
  <c r="M22" i="1"/>
  <c r="M23" i="1"/>
  <c r="M20" i="1"/>
  <c r="M21" i="1"/>
  <c r="M17" i="1"/>
  <c r="M14" i="1"/>
  <c r="M16" i="1"/>
  <c r="M15" i="1"/>
  <c r="M13" i="1"/>
  <c r="M84" i="1" l="1"/>
  <c r="I71" i="1"/>
  <c r="J71" i="1" s="1"/>
  <c r="K71" i="1" s="1"/>
  <c r="L71" i="1" s="1"/>
  <c r="I163" i="1"/>
  <c r="J163" i="1" s="1"/>
  <c r="K163" i="1" s="1"/>
  <c r="L163" i="1" s="1"/>
  <c r="I42" i="1"/>
  <c r="J42" i="1" s="1"/>
  <c r="K42" i="1" s="1"/>
  <c r="L42" i="1" s="1"/>
  <c r="I63" i="1"/>
  <c r="J63" i="1" s="1"/>
  <c r="K63" i="1" s="1"/>
  <c r="L63" i="1" s="1"/>
  <c r="I62" i="1"/>
  <c r="J62" i="1" s="1"/>
  <c r="K62" i="1" s="1"/>
  <c r="L62" i="1" s="1"/>
  <c r="I93" i="1"/>
  <c r="J93" i="1" s="1"/>
  <c r="K93" i="1" s="1"/>
  <c r="L93" i="1" s="1"/>
  <c r="I91" i="1"/>
  <c r="J91" i="1" s="1"/>
  <c r="K91" i="1" s="1"/>
  <c r="L91" i="1" s="1"/>
  <c r="I167" i="1"/>
  <c r="J167" i="1" s="1"/>
  <c r="K167" i="1" s="1"/>
  <c r="L167" i="1" s="1"/>
  <c r="I162" i="1"/>
  <c r="J162" i="1" s="1"/>
  <c r="K162" i="1" s="1"/>
  <c r="L162" i="1" s="1"/>
  <c r="I92" i="1"/>
  <c r="J92" i="1" s="1"/>
  <c r="K92" i="1" s="1"/>
  <c r="L92" i="1" s="1"/>
  <c r="I75" i="1"/>
  <c r="J75" i="1" s="1"/>
  <c r="K75" i="1" s="1"/>
  <c r="L75" i="1" s="1"/>
  <c r="I100" i="1"/>
  <c r="J100" i="1" s="1"/>
  <c r="K100" i="1" s="1"/>
  <c r="L100" i="1" s="1"/>
  <c r="I102" i="1"/>
  <c r="J102" i="1" s="1"/>
  <c r="K102" i="1" s="1"/>
  <c r="L102" i="1" s="1"/>
  <c r="I125" i="1"/>
  <c r="J125" i="1" s="1"/>
  <c r="K125" i="1" s="1"/>
  <c r="L125" i="1" s="1"/>
  <c r="I115" i="1"/>
  <c r="J115" i="1" s="1"/>
  <c r="K115" i="1" s="1"/>
  <c r="L115" i="1" s="1"/>
  <c r="I41" i="1"/>
  <c r="J41" i="1" s="1"/>
  <c r="K41" i="1" s="1"/>
  <c r="L41" i="1" s="1"/>
  <c r="I33" i="1"/>
  <c r="J33" i="1" s="1"/>
  <c r="K33" i="1" s="1"/>
  <c r="L33" i="1" s="1"/>
  <c r="I166" i="1"/>
  <c r="J166" i="1" s="1"/>
  <c r="K166" i="1" s="1"/>
  <c r="L166" i="1" s="1"/>
  <c r="I140" i="1"/>
  <c r="J140" i="1" s="1"/>
  <c r="K140" i="1" s="1"/>
  <c r="L140" i="1" s="1"/>
  <c r="I54" i="1"/>
  <c r="J54" i="1" s="1"/>
  <c r="K54" i="1" s="1"/>
  <c r="L54" i="1" s="1"/>
  <c r="I48" i="1"/>
  <c r="J48" i="1" s="1"/>
  <c r="K48" i="1" s="1"/>
  <c r="L48" i="1" s="1"/>
  <c r="I118" i="1"/>
  <c r="J118" i="1" s="1"/>
  <c r="K118" i="1" s="1"/>
  <c r="L118" i="1" s="1"/>
  <c r="I69" i="1"/>
  <c r="J69" i="1" s="1"/>
  <c r="K69" i="1" s="1"/>
  <c r="L69" i="1" s="1"/>
  <c r="I120" i="1"/>
  <c r="J120" i="1" s="1"/>
  <c r="K120" i="1" s="1"/>
  <c r="L120" i="1" s="1"/>
  <c r="I151" i="1"/>
  <c r="J151" i="1" s="1"/>
  <c r="K151" i="1" s="1"/>
  <c r="L151" i="1" s="1"/>
  <c r="I147" i="1"/>
  <c r="J147" i="1" s="1"/>
  <c r="K147" i="1" s="1"/>
  <c r="L147" i="1" s="1"/>
  <c r="I94" i="1"/>
  <c r="J94" i="1" s="1"/>
  <c r="K94" i="1" s="1"/>
  <c r="L94" i="1" s="1"/>
  <c r="I127" i="1"/>
  <c r="J127" i="1" s="1"/>
  <c r="K127" i="1" s="1"/>
  <c r="L127" i="1" s="1"/>
  <c r="I25" i="1"/>
  <c r="J25" i="1" s="1"/>
  <c r="K25" i="1" s="1"/>
  <c r="L25" i="1" s="1"/>
  <c r="I82" i="1"/>
  <c r="J82" i="1" s="1"/>
  <c r="K82" i="1" s="1"/>
  <c r="L82" i="1" s="1"/>
  <c r="I26" i="1"/>
  <c r="J26" i="1" s="1"/>
  <c r="K26" i="1" s="1"/>
  <c r="L26" i="1" s="1"/>
  <c r="I65" i="1"/>
  <c r="J65" i="1" s="1"/>
  <c r="K65" i="1" s="1"/>
  <c r="L65" i="1" s="1"/>
  <c r="I44" i="1"/>
  <c r="J44" i="1" s="1"/>
  <c r="K44" i="1" s="1"/>
  <c r="L44" i="1" s="1"/>
  <c r="I51" i="1"/>
  <c r="J51" i="1" s="1"/>
  <c r="K51" i="1" s="1"/>
  <c r="L51" i="1" s="1"/>
  <c r="I117" i="1"/>
  <c r="J117" i="1" s="1"/>
  <c r="K117" i="1" s="1"/>
  <c r="L117" i="1" s="1"/>
  <c r="I134" i="1"/>
  <c r="J134" i="1" s="1"/>
  <c r="K134" i="1" s="1"/>
  <c r="L134" i="1" s="1"/>
  <c r="I73" i="1"/>
  <c r="J73" i="1" s="1"/>
  <c r="K73" i="1" s="1"/>
  <c r="L73" i="1" s="1"/>
  <c r="I29" i="1"/>
  <c r="J29" i="1" s="1"/>
  <c r="K29" i="1" s="1"/>
  <c r="L29" i="1" s="1"/>
  <c r="I59" i="1"/>
  <c r="J59" i="1" s="1"/>
  <c r="K59" i="1" s="1"/>
  <c r="L59" i="1" s="1"/>
  <c r="I111" i="1"/>
  <c r="J111" i="1" s="1"/>
  <c r="K111" i="1" s="1"/>
  <c r="L111" i="1" s="1"/>
  <c r="I124" i="1"/>
  <c r="J124" i="1" s="1"/>
  <c r="K124" i="1" s="1"/>
  <c r="L124" i="1" s="1"/>
  <c r="I39" i="1"/>
  <c r="J39" i="1" s="1"/>
  <c r="K39" i="1" s="1"/>
  <c r="L39" i="1" s="1"/>
  <c r="I98" i="1"/>
  <c r="J98" i="1" s="1"/>
  <c r="K98" i="1" s="1"/>
  <c r="L98" i="1" s="1"/>
  <c r="I143" i="1"/>
  <c r="J143" i="1" s="1"/>
  <c r="K143" i="1" s="1"/>
  <c r="L143" i="1" s="1"/>
  <c r="I146" i="1"/>
  <c r="J146" i="1" s="1"/>
  <c r="K146" i="1" s="1"/>
  <c r="L146" i="1" s="1"/>
  <c r="I43" i="1"/>
  <c r="J43" i="1" s="1"/>
  <c r="K43" i="1" s="1"/>
  <c r="L43" i="1" s="1"/>
  <c r="I31" i="1"/>
  <c r="J31" i="1" s="1"/>
  <c r="K31" i="1" s="1"/>
  <c r="L31" i="1" s="1"/>
  <c r="I149" i="1"/>
  <c r="J149" i="1" s="1"/>
  <c r="K149" i="1" s="1"/>
  <c r="L149" i="1" s="1"/>
  <c r="I154" i="1"/>
  <c r="J154" i="1" s="1"/>
  <c r="K154" i="1" s="1"/>
  <c r="L154" i="1" s="1"/>
  <c r="I47" i="1"/>
  <c r="J47" i="1" s="1"/>
  <c r="K47" i="1" s="1"/>
  <c r="L47" i="1" s="1"/>
  <c r="I89" i="1"/>
  <c r="J89" i="1" s="1"/>
  <c r="K89" i="1" s="1"/>
  <c r="L89" i="1" s="1"/>
  <c r="I107" i="1"/>
  <c r="J107" i="1" s="1"/>
  <c r="K107" i="1" s="1"/>
  <c r="L107" i="1" s="1"/>
  <c r="I95" i="1"/>
  <c r="J95" i="1" s="1"/>
  <c r="K95" i="1" s="1"/>
  <c r="L95" i="1" s="1"/>
  <c r="I67" i="1"/>
  <c r="J67" i="1" s="1"/>
  <c r="K67" i="1" s="1"/>
  <c r="L67" i="1" s="1"/>
  <c r="I131" i="1"/>
  <c r="J131" i="1" s="1"/>
  <c r="K131" i="1" s="1"/>
  <c r="L131" i="1" s="1"/>
  <c r="I83" i="1"/>
  <c r="J83" i="1" s="1"/>
  <c r="K83" i="1" s="1"/>
  <c r="L83" i="1" s="1"/>
  <c r="I76" i="1"/>
  <c r="J76" i="1" s="1"/>
  <c r="K76" i="1" s="1"/>
  <c r="L76" i="1" s="1"/>
  <c r="I155" i="1"/>
  <c r="J155" i="1" s="1"/>
  <c r="K155" i="1" s="1"/>
  <c r="L155" i="1" s="1"/>
  <c r="I27" i="1"/>
  <c r="J27" i="1" s="1"/>
  <c r="K27" i="1" s="1"/>
  <c r="L27" i="1" s="1"/>
  <c r="I109" i="1"/>
  <c r="J109" i="1" s="1"/>
  <c r="K109" i="1" s="1"/>
  <c r="L109" i="1" s="1"/>
  <c r="M109" i="1" s="1"/>
  <c r="I160" i="1"/>
  <c r="J160" i="1" s="1"/>
  <c r="K160" i="1" s="1"/>
  <c r="L160" i="1" s="1"/>
  <c r="I110" i="1"/>
  <c r="J110" i="1" s="1"/>
  <c r="K110" i="1" s="1"/>
  <c r="L110" i="1" s="1"/>
  <c r="I56" i="1"/>
  <c r="J56" i="1" s="1"/>
  <c r="K56" i="1" s="1"/>
  <c r="L56" i="1" s="1"/>
  <c r="I159" i="1"/>
  <c r="J159" i="1" s="1"/>
  <c r="K159" i="1" s="1"/>
  <c r="L159" i="1" s="1"/>
  <c r="I104" i="1"/>
  <c r="J104" i="1" s="1"/>
  <c r="K104" i="1" s="1"/>
  <c r="L104" i="1" s="1"/>
  <c r="I86" i="1"/>
  <c r="J86" i="1" s="1"/>
  <c r="K86" i="1" s="1"/>
  <c r="L86" i="1" s="1"/>
  <c r="I114" i="1"/>
  <c r="J114" i="1" s="1"/>
  <c r="K114" i="1" s="1"/>
  <c r="L114" i="1" s="1"/>
  <c r="I105" i="1"/>
  <c r="J105" i="1" s="1"/>
  <c r="K105" i="1" s="1"/>
  <c r="L105" i="1" s="1"/>
  <c r="I90" i="1"/>
  <c r="J90" i="1" s="1"/>
  <c r="K90" i="1" s="1"/>
  <c r="L90" i="1" s="1"/>
  <c r="I85" i="1"/>
  <c r="J85" i="1" s="1"/>
  <c r="K85" i="1" s="1"/>
  <c r="L85" i="1" s="1"/>
  <c r="I34" i="1"/>
  <c r="J34" i="1" s="1"/>
  <c r="K34" i="1" s="1"/>
  <c r="L34" i="1" s="1"/>
  <c r="I38" i="1"/>
  <c r="J38" i="1" s="1"/>
  <c r="K38" i="1" s="1"/>
  <c r="L38" i="1" s="1"/>
  <c r="I103" i="1"/>
  <c r="J103" i="1" s="1"/>
  <c r="K103" i="1" s="1"/>
  <c r="L103" i="1" s="1"/>
  <c r="I53" i="1"/>
  <c r="J53" i="1" s="1"/>
  <c r="K53" i="1" s="1"/>
  <c r="L53" i="1" s="1"/>
  <c r="I112" i="1"/>
  <c r="J112" i="1" s="1"/>
  <c r="K112" i="1" s="1"/>
  <c r="L112" i="1" s="1"/>
  <c r="I123" i="1"/>
  <c r="J123" i="1" s="1"/>
  <c r="K123" i="1" s="1"/>
  <c r="L123" i="1" s="1"/>
  <c r="I79" i="1"/>
  <c r="J79" i="1" s="1"/>
  <c r="K79" i="1" s="1"/>
  <c r="L79" i="1" s="1"/>
  <c r="I57" i="1"/>
  <c r="J57" i="1" s="1"/>
  <c r="K57" i="1" s="1"/>
  <c r="L57" i="1" s="1"/>
  <c r="I74" i="1"/>
  <c r="J74" i="1" s="1"/>
  <c r="K74" i="1" s="1"/>
  <c r="L74" i="1" s="1"/>
  <c r="I126" i="1"/>
  <c r="J126" i="1" s="1"/>
  <c r="K126" i="1" s="1"/>
  <c r="L126" i="1" s="1"/>
  <c r="I64" i="1"/>
  <c r="J64" i="1" s="1"/>
  <c r="K64" i="1" s="1"/>
  <c r="L64" i="1" s="1"/>
  <c r="I108" i="1"/>
  <c r="J108" i="1" s="1"/>
  <c r="K108" i="1" s="1"/>
  <c r="L108" i="1" s="1"/>
  <c r="I46" i="1"/>
  <c r="J46" i="1" s="1"/>
  <c r="K46" i="1" s="1"/>
  <c r="L46" i="1" s="1"/>
  <c r="I158" i="1"/>
  <c r="J158" i="1" s="1"/>
  <c r="K158" i="1" s="1"/>
  <c r="L158" i="1" s="1"/>
  <c r="I119" i="1"/>
  <c r="J119" i="1" s="1"/>
  <c r="K119" i="1" s="1"/>
  <c r="L119" i="1" s="1"/>
  <c r="I136" i="1"/>
  <c r="J136" i="1" s="1"/>
  <c r="K136" i="1" s="1"/>
  <c r="L136" i="1" s="1"/>
  <c r="I116" i="1"/>
  <c r="J116" i="1" s="1"/>
  <c r="K116" i="1" s="1"/>
  <c r="L116" i="1" s="1"/>
  <c r="I142" i="1"/>
  <c r="J142" i="1" s="1"/>
  <c r="K142" i="1" s="1"/>
  <c r="L142" i="1" s="1"/>
  <c r="I19" i="1"/>
  <c r="J19" i="1" s="1"/>
  <c r="K19" i="1" s="1"/>
  <c r="L19" i="1" s="1"/>
  <c r="I139" i="1"/>
  <c r="J139" i="1" s="1"/>
  <c r="K139" i="1" s="1"/>
  <c r="L139" i="1" s="1"/>
  <c r="I138" i="1"/>
  <c r="J138" i="1" s="1"/>
  <c r="K138" i="1" s="1"/>
  <c r="L138" i="1" s="1"/>
  <c r="I157" i="1"/>
  <c r="J157" i="1" s="1"/>
  <c r="K157" i="1" s="1"/>
  <c r="L157" i="1" s="1"/>
  <c r="I68" i="1"/>
  <c r="J68" i="1" s="1"/>
  <c r="K68" i="1" s="1"/>
  <c r="L68" i="1" s="1"/>
  <c r="I30" i="1"/>
  <c r="J30" i="1" s="1"/>
  <c r="K30" i="1" s="1"/>
  <c r="L30" i="1" s="1"/>
  <c r="I164" i="1"/>
  <c r="J164" i="1" s="1"/>
  <c r="K164" i="1" s="1"/>
  <c r="L164" i="1" s="1"/>
  <c r="I61" i="1"/>
  <c r="J61" i="1" s="1"/>
  <c r="K61" i="1" s="1"/>
  <c r="L61" i="1" s="1"/>
  <c r="I58" i="1"/>
  <c r="J58" i="1" s="1"/>
  <c r="K58" i="1" s="1"/>
  <c r="L58" i="1" s="1"/>
  <c r="I135" i="1"/>
  <c r="J135" i="1" s="1"/>
  <c r="K135" i="1" s="1"/>
  <c r="L135" i="1" s="1"/>
  <c r="I148" i="1"/>
  <c r="J148" i="1" s="1"/>
  <c r="K148" i="1" s="1"/>
  <c r="L148" i="1" s="1"/>
  <c r="I37" i="1"/>
  <c r="J37" i="1" s="1"/>
  <c r="K37" i="1" s="1"/>
  <c r="L37" i="1" s="1"/>
  <c r="I130" i="1"/>
  <c r="J130" i="1" s="1"/>
  <c r="K130" i="1" s="1"/>
  <c r="L130" i="1" s="1"/>
  <c r="I152" i="1"/>
  <c r="J152" i="1" s="1"/>
  <c r="K152" i="1" s="1"/>
  <c r="L152" i="1" s="1"/>
  <c r="I32" i="1"/>
  <c r="J32" i="1" s="1"/>
  <c r="K32" i="1" s="1"/>
  <c r="L32" i="1" s="1"/>
  <c r="I80" i="1"/>
  <c r="J80" i="1" s="1"/>
  <c r="K80" i="1" s="1"/>
  <c r="L80" i="1" s="1"/>
  <c r="I132" i="1"/>
  <c r="J132" i="1" s="1"/>
  <c r="K132" i="1" s="1"/>
  <c r="L132" i="1" s="1"/>
  <c r="I70" i="1"/>
  <c r="J70" i="1" s="1"/>
  <c r="K70" i="1" s="1"/>
  <c r="L70" i="1" s="1"/>
  <c r="I144" i="1"/>
  <c r="J144" i="1" s="1"/>
  <c r="K144" i="1" s="1"/>
  <c r="L144" i="1" s="1"/>
  <c r="I52" i="1"/>
  <c r="J52" i="1" s="1"/>
  <c r="K52" i="1" s="1"/>
  <c r="L52" i="1" s="1"/>
  <c r="I99" i="1"/>
  <c r="J99" i="1" s="1"/>
  <c r="K99" i="1" s="1"/>
  <c r="L99" i="1" s="1"/>
  <c r="I78" i="1"/>
  <c r="J78" i="1" s="1"/>
  <c r="K78" i="1" s="1"/>
  <c r="L78" i="1" s="1"/>
  <c r="I87" i="1"/>
  <c r="J87" i="1" s="1"/>
  <c r="K87" i="1" s="1"/>
  <c r="L87" i="1" s="1"/>
  <c r="I165" i="1"/>
  <c r="J165" i="1" s="1"/>
  <c r="K165" i="1" s="1"/>
  <c r="L165" i="1" s="1"/>
  <c r="I128" i="1"/>
  <c r="J128" i="1" s="1"/>
  <c r="K128" i="1" s="1"/>
  <c r="L128" i="1" s="1"/>
  <c r="I49" i="1"/>
  <c r="J49" i="1" s="1"/>
  <c r="K49" i="1" s="1"/>
  <c r="L49" i="1" s="1"/>
  <c r="I122" i="1"/>
  <c r="J122" i="1" s="1"/>
  <c r="K122" i="1" s="1"/>
  <c r="L122" i="1" s="1"/>
  <c r="I36" i="1"/>
  <c r="J36" i="1" s="1"/>
  <c r="K36" i="1" s="1"/>
  <c r="L36" i="1" s="1"/>
  <c r="M167" i="1" l="1"/>
  <c r="M143" i="1"/>
  <c r="M54" i="1"/>
  <c r="M100" i="1"/>
  <c r="M111" i="1"/>
  <c r="M107" i="1"/>
  <c r="M159" i="1"/>
  <c r="M65" i="1"/>
  <c r="M83" i="1"/>
  <c r="M120" i="1"/>
  <c r="M134" i="1"/>
  <c r="M63" i="1"/>
  <c r="M149" i="1"/>
  <c r="M41" i="1"/>
  <c r="M127" i="1"/>
  <c r="M61" i="1"/>
  <c r="M36" i="1"/>
  <c r="M122" i="1"/>
  <c r="M87" i="1"/>
  <c r="M144" i="1"/>
  <c r="M32" i="1"/>
  <c r="M148" i="1"/>
  <c r="M164" i="1"/>
  <c r="M138" i="1"/>
  <c r="M116" i="1"/>
  <c r="M46" i="1"/>
  <c r="M74" i="1"/>
  <c r="M112" i="1"/>
  <c r="M34" i="1"/>
  <c r="M114" i="1"/>
  <c r="M56" i="1"/>
  <c r="M27" i="1"/>
  <c r="M131" i="1"/>
  <c r="M89" i="1"/>
  <c r="M31" i="1"/>
  <c r="M98" i="1"/>
  <c r="M59" i="1"/>
  <c r="M117" i="1"/>
  <c r="M26" i="1"/>
  <c r="M94" i="1"/>
  <c r="M69" i="1"/>
  <c r="M140" i="1"/>
  <c r="M115" i="1"/>
  <c r="M75" i="1"/>
  <c r="M91" i="1"/>
  <c r="M42" i="1"/>
  <c r="M52" i="1"/>
  <c r="M126" i="1"/>
  <c r="M37" i="1"/>
  <c r="M158" i="1"/>
  <c r="M123" i="1"/>
  <c r="M49" i="1"/>
  <c r="M78" i="1"/>
  <c r="M70" i="1"/>
  <c r="M152" i="1"/>
  <c r="M135" i="1"/>
  <c r="M30" i="1"/>
  <c r="M139" i="1"/>
  <c r="M136" i="1"/>
  <c r="M108" i="1"/>
  <c r="M57" i="1"/>
  <c r="M53" i="1"/>
  <c r="M85" i="1"/>
  <c r="M86" i="1"/>
  <c r="M110" i="1"/>
  <c r="M155" i="1"/>
  <c r="M67" i="1"/>
  <c r="M47" i="1"/>
  <c r="M43" i="1"/>
  <c r="M39" i="1"/>
  <c r="M29" i="1"/>
  <c r="M51" i="1"/>
  <c r="M82" i="1"/>
  <c r="M147" i="1"/>
  <c r="M118" i="1"/>
  <c r="M166" i="1"/>
  <c r="M125" i="1"/>
  <c r="M92" i="1"/>
  <c r="M93" i="1"/>
  <c r="M163" i="1"/>
  <c r="M165" i="1"/>
  <c r="M157" i="1"/>
  <c r="M105" i="1"/>
  <c r="M80" i="1"/>
  <c r="M142" i="1"/>
  <c r="M38" i="1"/>
  <c r="M128" i="1"/>
  <c r="M99" i="1"/>
  <c r="M132" i="1"/>
  <c r="M130" i="1"/>
  <c r="M58" i="1"/>
  <c r="M68" i="1"/>
  <c r="M19" i="1"/>
  <c r="M119" i="1"/>
  <c r="M64" i="1"/>
  <c r="M79" i="1"/>
  <c r="M103" i="1"/>
  <c r="M90" i="1"/>
  <c r="M104" i="1"/>
  <c r="M160" i="1"/>
  <c r="M76" i="1"/>
  <c r="M95" i="1"/>
  <c r="M154" i="1"/>
  <c r="M146" i="1"/>
  <c r="M124" i="1"/>
  <c r="M73" i="1"/>
  <c r="M44" i="1"/>
  <c r="M25" i="1"/>
  <c r="M151" i="1"/>
  <c r="M48" i="1"/>
  <c r="M33" i="1"/>
  <c r="M102" i="1"/>
  <c r="M162" i="1"/>
  <c r="M62" i="1"/>
  <c r="M7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<sst xmlns="http://schemas.openxmlformats.org/spreadsheetml/2006/main" count="165" uniqueCount="63">
  <si>
    <t>DISTRIBUIDORA</t>
  </si>
  <si>
    <t>PELÍCULA</t>
  </si>
  <si>
    <t>GÉNERO</t>
  </si>
  <si>
    <t>CLASIFICACIÓN</t>
  </si>
  <si>
    <t>TOTAL</t>
  </si>
  <si>
    <t>DURACIÓN</t>
  </si>
  <si>
    <t>TRAILERS</t>
  </si>
  <si>
    <t>LIMPIEZA</t>
  </si>
  <si>
    <t>WESTBAY</t>
  </si>
  <si>
    <t>MOON MI AMIGO EL PANDA</t>
  </si>
  <si>
    <t>FAMILIAR</t>
  </si>
  <si>
    <t>NIÑOS</t>
  </si>
  <si>
    <t>IMAGEM</t>
  </si>
  <si>
    <t>ALERTA EXTINCIÓN</t>
  </si>
  <si>
    <t>ACCIÓN / COMEDIA</t>
  </si>
  <si>
    <t>VENUS</t>
  </si>
  <si>
    <t>STREAMING PARANORMAL</t>
  </si>
  <si>
    <t>TERROR</t>
  </si>
  <si>
    <t>JÓVENES / ADULTOS</t>
  </si>
  <si>
    <t>DIAMOND</t>
  </si>
  <si>
    <t>MARTY SUPREMO</t>
  </si>
  <si>
    <t>DRAMA</t>
  </si>
  <si>
    <t>ADULTOS</t>
  </si>
  <si>
    <t>CINE</t>
  </si>
  <si>
    <t>SALA</t>
  </si>
  <si>
    <t>CAPACIDAD</t>
  </si>
  <si>
    <t>TT</t>
  </si>
  <si>
    <t>OBS</t>
  </si>
  <si>
    <t>F1</t>
  </si>
  <si>
    <t>F2</t>
  </si>
  <si>
    <t>F3</t>
  </si>
  <si>
    <t>F4</t>
  </si>
  <si>
    <t>F5</t>
  </si>
  <si>
    <t>C/F</t>
  </si>
  <si>
    <t>MT CHORRILLOS</t>
  </si>
  <si>
    <t>MT BASADRE</t>
  </si>
  <si>
    <t>MT VES 1</t>
  </si>
  <si>
    <t>MT VES 2</t>
  </si>
  <si>
    <t>MT HUARAL</t>
  </si>
  <si>
    <t>MT BARRANCA</t>
  </si>
  <si>
    <t>MT CAÑETE</t>
  </si>
  <si>
    <t>MT CHINCHA</t>
  </si>
  <si>
    <t>MT PISCO</t>
  </si>
  <si>
    <t>MT IQUITOS</t>
  </si>
  <si>
    <t>MT IQUITOS PREMIUM</t>
  </si>
  <si>
    <t>MT JAEN</t>
  </si>
  <si>
    <t>MT CAJAMARCA</t>
  </si>
  <si>
    <t>STAR EXCELSIOR</t>
  </si>
  <si>
    <t>STAR BREÑA</t>
  </si>
  <si>
    <t>STAR COMAS</t>
  </si>
  <si>
    <t>STAR CHORRILLOS</t>
  </si>
  <si>
    <t>STAR SUR</t>
  </si>
  <si>
    <t>STAR UNI</t>
  </si>
  <si>
    <t>STAR SAN JUAN</t>
  </si>
  <si>
    <t>STAR CHOSICA</t>
  </si>
  <si>
    <t>STAR PORTEÑO</t>
  </si>
  <si>
    <t>STAR MOQUEGUA</t>
  </si>
  <si>
    <t>STAR ILO</t>
  </si>
  <si>
    <t>STAR CHIMBOTE</t>
  </si>
  <si>
    <t>STAR AYACUCHO</t>
  </si>
  <si>
    <t>STAR TINGO MARIA</t>
  </si>
  <si>
    <t>STAR SULLANA</t>
  </si>
  <si>
    <t>STAR TARAPOTO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</si>
</sst>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770C-3CDD-4C9D-B8A5-CD33925323E3}">
  <dimension ref="A5:N167"/>
  <sheetViews>
    <sheetView tabSelected="1" workbookViewId="0">
      <selection activeCell="H161" sqref="H161"/>
    </sheetView>
  </sheetViews>
  <sheetFormatPr baseColWidth="10" defaultRowHeight="14.4" x14ac:dyDescent="0.3"/>
  <cols>
    <col min="1" max="1" width="21.33203125" bestFit="1" customWidth="1"/>
    <col min="3" max="3" width="14.109375" bestFit="1" customWidth="1"/>
    <col min="4" max="4" width="46.77734375" bestFit="1" customWidth="1"/>
    <col min="5" max="5" width="16.88671875" bestFit="1" customWidth="1"/>
    <col min="6" max="6" width="17.5546875" bestFit="1" customWidth="1"/>
    <col min="7" max="7" width="34" bestFit="1" customWidth="1"/>
    <col min="8" max="8" width="10.109375" bestFit="1" customWidth="1"/>
    <col min="9" max="9" width="8.77734375" bestFit="1" customWidth="1"/>
    <col min="10" max="10" width="8.6640625" bestFit="1" customWidth="1"/>
    <col min="14" max="14" width="17.5546875" bestFit="1" customWidth="1"/>
  </cols>
  <sheetData>
    <row r="5" spans="1:14" x14ac:dyDescent="0.3">
      <c r="C5" s="1" t="s">
        <v>0</v>
      </c>
      <c r="D5" s="1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1" t="s">
        <v>6</v>
      </c>
      <c r="J5" s="2" t="s">
        <v>7</v>
      </c>
    </row>
    <row r="6" spans="1:14" x14ac:dyDescent="0.3">
      <c r="C6" s="3" t="s">
        <v>8</v>
      </c>
      <c r="D6" s="3" t="s">
        <v>9</v>
      </c>
      <c r="E6" s="4" t="s">
        <v>10</v>
      </c>
      <c r="F6" s="4" t="s">
        <v>11</v>
      </c>
      <c r="G6" s="4">
        <f>+H6+I6+J6</f>
        <v>8.3333333333333343E-2</v>
      </c>
      <c r="H6" s="4">
        <v>6.9444444444444448E-2</v>
      </c>
      <c r="I6" s="4">
        <v>6.9444444444444441E-3</v>
      </c>
      <c r="J6" s="4">
        <v>6.9444444444444441E-3</v>
      </c>
    </row>
    <row r="7" spans="1:14" x14ac:dyDescent="0.3">
      <c r="C7" s="3" t="s">
        <v>12</v>
      </c>
      <c r="D7" s="3" t="s">
        <v>13</v>
      </c>
      <c r="E7" s="4" t="s">
        <v>14</v>
      </c>
      <c r="F7" s="4" t="s">
        <v>18</v>
      </c>
      <c r="G7" s="4">
        <f>+H7+I7+J7</f>
        <v>8.2638888888888901E-2</v>
      </c>
      <c r="H7" s="4">
        <v>6.8750000000000006E-2</v>
      </c>
      <c r="I7" s="4">
        <v>6.9444444444444441E-3</v>
      </c>
      <c r="J7" s="4">
        <v>6.9444444444444441E-3</v>
      </c>
    </row>
    <row r="8" spans="1:14" x14ac:dyDescent="0.3">
      <c r="C8" s="3" t="s">
        <v>15</v>
      </c>
      <c r="D8" s="3" t="s">
        <v>16</v>
      </c>
      <c r="E8" s="4" t="s">
        <v>17</v>
      </c>
      <c r="F8" s="4" t="s">
        <v>18</v>
      </c>
      <c r="G8" s="4">
        <f>+H8+I8+J8</f>
        <v>7.7777777777777779E-2</v>
      </c>
      <c r="H8" s="4">
        <v>6.3888888888888884E-2</v>
      </c>
      <c r="I8" s="4">
        <v>6.9444444444444441E-3</v>
      </c>
      <c r="J8" s="4">
        <v>6.9444444444444441E-3</v>
      </c>
      <c r="N8" s="8"/>
    </row>
    <row r="9" spans="1:14" x14ac:dyDescent="0.3">
      <c r="C9" s="3" t="s">
        <v>19</v>
      </c>
      <c r="D9" s="3" t="s">
        <v>20</v>
      </c>
      <c r="E9" s="4" t="s">
        <v>21</v>
      </c>
      <c r="F9" s="4" t="s">
        <v>22</v>
      </c>
      <c r="G9" s="4">
        <f>+H9+I9+J9</f>
        <v>0.11805555555555557</v>
      </c>
      <c r="H9" s="4">
        <v>0.10416666666666667</v>
      </c>
      <c r="I9" s="4">
        <v>6.9444444444444441E-3</v>
      </c>
      <c r="J9" s="4">
        <v>6.9444444444444441E-3</v>
      </c>
      <c r="L9" s="8"/>
    </row>
    <row r="12" spans="1:14" x14ac:dyDescent="0.3">
      <c r="A12" s="1" t="s">
        <v>23</v>
      </c>
      <c r="B12" s="1" t="s">
        <v>24</v>
      </c>
      <c r="C12" s="1" t="s">
        <v>25</v>
      </c>
      <c r="D12" s="1" t="s">
        <v>1</v>
      </c>
      <c r="E12" s="2" t="s">
        <v>2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31</v>
      </c>
      <c r="L12" s="2" t="s">
        <v>32</v>
      </c>
      <c r="M12" s="5" t="s">
        <v>33</v>
      </c>
      <c r="N12" s="2" t="s">
        <v>3</v>
      </c>
    </row>
    <row r="13" spans="1:14" x14ac:dyDescent="0.3">
      <c r="A13" s="3" t="s">
        <v>34</v>
      </c>
      <c r="B13" s="3">
        <v>1</v>
      </c>
      <c r="C13" s="3">
        <v>110</v>
      </c>
      <c r="D13" s="3" t="str" cm="1">
        <f t="array" aca="1" ref="D13" ca="1">IF(COUNTIF($C$13:$C$17,_xlfn.MODE.MULT($C$13:$C$17))=COUNT($C$13:$C$17),INDEX($D$6:$D$9,RANDBETWEEN(1,COUNTA($D$6:$D$9))),_xlfn.IFS(AND(C13&gt;=50,C13&lt;100),$D$6,AND(C13&gt;=100,C13&lt;150),$D$7,AND(C13&gt;=150,C13&lt;200),$D$8,AND(C13&gt;=200,C13&lt;300),$D$9))</f>
        <v>ALERTA EXTINCIÓN</v>
      </c>
      <c r="E13" s="4" t="str">
        <f ca="1">+VLOOKUP(D13,$D$6:$J$9,2,FALSE)</f>
        <v>ACCIÓN / COMEDIA</v>
      </c>
      <c r="F13" s="4">
        <f ca="1">+VLOOKUP(D13,$D$6:$G$9,4,FALSE)</f>
        <v>8.2638888888888901E-2</v>
      </c>
      <c r="G13" s="4" t="str" cm="1">
        <f t="array" aca="1" ref="G13" ca="1">_xlfn.IFS(D13=$D$6,"Doblada",D13=$D$7,"Doblada Vibrosound",D13=$D$8,"Doblada Proyección Láser",D13=$D$9,"Subtitulada Vibrosound Proyección Láser")</f>
        <v>Doblada Vibrosound</v>
      </c>
      <c r="H13" s="7">
        <f ca="1">TIME(
    IF(ISNUMBER(SEARCH("FAMILIAR", E13)), 10, 11) + IF(OR(ISNUMBER(SEARCH("IQUITOS", A13)), ISNUMBER(SEARCH("TARAPOTO", A13)), ISNUMBER(SEARCH("TINGO", A13)), ISNUMBER(SEARCH("JAEN", A13))), 1, 0),
    IF(ISNUMBER(SEARCH("FAMILIAR", E13)), 30, 0),
    0
)</f>
        <v>0.45833333333333331</v>
      </c>
      <c r="I13" s="7">
        <f ca="1">CEILING(H13+$F13,"0:10")</f>
        <v>0.54166666666666663</v>
      </c>
      <c r="J13" s="7">
        <f t="shared" ref="J13:L13" ca="1" si="0">CEILING(I13+$F13,"0:10")</f>
        <v>0.625</v>
      </c>
      <c r="K13" s="7">
        <f t="shared" ca="1" si="0"/>
        <v>0.70833333333333326</v>
      </c>
      <c r="L13" s="7">
        <f t="shared" ca="1" si="0"/>
        <v>0.79166666666666663</v>
      </c>
      <c r="M13" s="6">
        <f ca="1">+COUNTA(H13:L13)</f>
        <v>5</v>
      </c>
      <c r="N13" t="str">
        <f ca="1">+VLOOKUP(D13,$D$6:$F$9,3,FALSE)</f>
        <v>JÓVENES / ADULTOS</v>
      </c>
    </row>
    <row r="14" spans="1:14" x14ac:dyDescent="0.3">
      <c r="A14" s="3" t="s">
        <v>34</v>
      </c>
      <c r="B14" s="3">
        <v>2</v>
      </c>
      <c r="C14" s="3">
        <v>100</v>
      </c>
      <c r="D14" s="3" t="str" cm="1">
        <f t="array" aca="1" ref="D14" ca="1">IF(COUNTIF($C$13:$C$17,_xlfn.MODE.MULT($C$13:$C$17))=COUNT($C$13:$C$17),INDEX($D$6:$D$9,RANDBETWEEN(1,COUNTA($D$6:$D$9))),_xlfn.IFS(AND(C14&gt;=50,C14&lt;100),$D$6,AND(C14&gt;=100,C14&lt;150),$D$7,AND(C14&gt;=150,C14&lt;200),$D$8,AND(C14&gt;=200,C14&lt;300),$D$9))</f>
        <v>ALERTA EXTINCIÓN</v>
      </c>
      <c r="E14" s="4" t="str">
        <f ca="1">+VLOOKUP(D14,$D$6:$E$25,2,FALSE)</f>
        <v>ACCIÓN / COMEDIA</v>
      </c>
      <c r="F14" s="4">
        <f ca="1">+VLOOKUP(D14,$D$5:$G$25,4,FALSE)</f>
        <v>8.2638888888888901E-2</v>
      </c>
      <c r="G14" s="4" t="str" cm="1">
        <f t="array" aca="1" ref="G14" ca="1">_xlfn.IFS(D14=$D$6,"Doblada",D14=$D$7,"Doblada Vibrosound",D14=$D$8,"Doblada Proyección Láser",D14=$D$9,"Subtitulada Vibrosound Proyección Láser")</f>
        <v>Doblada Vibrosound</v>
      </c>
      <c r="H14" s="7">
        <f t="shared" ref="H14:H77" ca="1" si="1">TIME(
    IF(ISNUMBER(SEARCH("FAMILIAR", E14)), 10, 11) + IF(OR(ISNUMBER(SEARCH("IQUITOS", A14)), ISNUMBER(SEARCH("TARAPOTO", A14)), ISNUMBER(SEARCH("TINGO", A14)), ISNUMBER(SEARCH("JAEN", A14))), 1, 0),
    IF(ISNUMBER(SEARCH("FAMILIAR", E14)), 30, 0),
    0
)</f>
        <v>0.45833333333333331</v>
      </c>
      <c r="I14" s="7">
        <f t="shared" ref="I14:L14" ca="1" si="2">CEILING(H14+$F14,"0:10")</f>
        <v>0.54166666666666663</v>
      </c>
      <c r="J14" s="7">
        <f t="shared" ca="1" si="2"/>
        <v>0.625</v>
      </c>
      <c r="K14" s="7">
        <f t="shared" ca="1" si="2"/>
        <v>0.70833333333333326</v>
      </c>
      <c r="L14" s="7">
        <f t="shared" ca="1" si="2"/>
        <v>0.79166666666666663</v>
      </c>
      <c r="M14" s="6">
        <f ca="1">+COUNTA(H14:L14)</f>
        <v>5</v>
      </c>
      <c r="N14" t="str">
        <f ca="1">+VLOOKUP(D14,$D$6:$F$25,3,FALSE)</f>
        <v>JÓVENES / ADULTOS</v>
      </c>
    </row>
    <row r="15" spans="1:14" x14ac:dyDescent="0.3">
      <c r="A15" s="3" t="s">
        <v>34</v>
      </c>
      <c r="B15" s="3">
        <v>3</v>
      </c>
      <c r="C15" s="3">
        <v>100</v>
      </c>
      <c r="D15" s="3" t="str" cm="1">
        <f t="array" aca="1" ref="D15" ca="1">IF(COUNTIF($C$13:$C$17,_xlfn.MODE.MULT($C$13:$C$17))=COUNT($C$13:$C$17),INDEX($D$6:$D$9,RANDBETWEEN(1,COUNTA($D$6:$D$9))),_xlfn.IFS(AND(C15&gt;=50,C15&lt;100),$D$6,AND(C15&gt;=100,C15&lt;150),$D$7,AND(C15&gt;=150,C15&lt;200),$D$8,AND(C15&gt;=200,C15&lt;300),$D$9))</f>
        <v>ALERTA EXTINCIÓN</v>
      </c>
      <c r="E15" s="4" t="str">
        <f ca="1">+VLOOKUP(D15,$D$6:$E$25,2,FALSE)</f>
        <v>ACCIÓN / COMEDIA</v>
      </c>
      <c r="F15" s="4">
        <f ca="1">+VLOOKUP(D15,$D$5:$G$25,4,FALSE)</f>
        <v>8.2638888888888901E-2</v>
      </c>
      <c r="G15" s="4" t="str" cm="1">
        <f t="array" aca="1" ref="G15" ca="1">_xlfn.IFS(D15=$D$6,"Doblada",D15=$D$7,"Doblada Vibrosound",D15=$D$8,"Doblada Proyección Láser",D15=$D$9,"Subtitulada Vibrosound Proyección Láser")</f>
        <v>Doblada Vibrosound</v>
      </c>
      <c r="H15" s="7">
        <f t="shared" ca="1" si="1"/>
        <v>0.45833333333333331</v>
      </c>
      <c r="I15" s="7">
        <f t="shared" ref="I15:L15" ca="1" si="3">CEILING(H15+$F15,"0:10")</f>
        <v>0.54166666666666663</v>
      </c>
      <c r="J15" s="7">
        <f t="shared" ca="1" si="3"/>
        <v>0.625</v>
      </c>
      <c r="K15" s="7">
        <f t="shared" ca="1" si="3"/>
        <v>0.70833333333333326</v>
      </c>
      <c r="L15" s="7">
        <f t="shared" ca="1" si="3"/>
        <v>0.79166666666666663</v>
      </c>
      <c r="M15" s="6">
        <f ca="1">+COUNTA(H15:L15)</f>
        <v>5</v>
      </c>
      <c r="N15" t="str">
        <f ca="1">+VLOOKUP(D15,$D$6:$F$25,3,FALSE)</f>
        <v>JÓVENES / ADULTOS</v>
      </c>
    </row>
    <row r="16" spans="1:14" x14ac:dyDescent="0.3">
      <c r="A16" s="3" t="s">
        <v>34</v>
      </c>
      <c r="B16" s="3">
        <v>4</v>
      </c>
      <c r="C16" s="3">
        <v>203</v>
      </c>
      <c r="D16" s="3" t="str" cm="1">
        <f t="array" aca="1" ref="D16" ca="1">IF(COUNTIF($C$13:$C$17,_xlfn.MODE.MULT($C$13:$C$17))=COUNT($C$13:$C$17),INDEX($D$6:$D$9,RANDBETWEEN(1,COUNTA($D$6:$D$9))),_xlfn.IFS(AND(C16&gt;=50,C16&lt;100),$D$6,AND(C16&gt;=100,C16&lt;150),$D$7,AND(C16&gt;=150,C16&lt;200),$D$8,AND(C16&gt;=200,C16&lt;300),$D$9))</f>
        <v>MARTY SUPREMO</v>
      </c>
      <c r="E16" s="4" t="str">
        <f ca="1">+VLOOKUP(D16,$D$6:$E$25,2,FALSE)</f>
        <v>DRAMA</v>
      </c>
      <c r="F16" s="4">
        <f ca="1">+VLOOKUP(D16,$D$5:$G$25,4,FALSE)</f>
        <v>0.11805555555555557</v>
      </c>
      <c r="G16" s="4" t="str" cm="1">
        <f t="array" aca="1" ref="G16" ca="1">_xlfn.IFS(D16=$D$6,"Doblada",D16=$D$7,"Doblada Vibrosound",D16=$D$8,"Doblada Proyección Láser",D16=$D$9,"Subtitulada Vibrosound Proyección Láser")</f>
        <v>Subtitulada Vibrosound Proyección Láser</v>
      </c>
      <c r="H16" s="7">
        <f t="shared" ca="1" si="1"/>
        <v>0.45833333333333331</v>
      </c>
      <c r="I16" s="7">
        <f t="shared" ref="I16:L16" ca="1" si="4">CEILING(H16+$F16,"0:10")</f>
        <v>0.57638888888888884</v>
      </c>
      <c r="J16" s="7">
        <f t="shared" ca="1" si="4"/>
        <v>0.69444444444444442</v>
      </c>
      <c r="K16" s="7">
        <f t="shared" ca="1" si="4"/>
        <v>0.8125</v>
      </c>
      <c r="L16" s="7">
        <f t="shared" ca="1" si="4"/>
        <v>0.93055555555555547</v>
      </c>
      <c r="M16" s="6">
        <f ca="1">+COUNTA(H16:L16)</f>
        <v>5</v>
      </c>
      <c r="N16" t="str">
        <f ca="1">+VLOOKUP(D16,$D$6:$F$25,3,FALSE)</f>
        <v>ADULTOS</v>
      </c>
    </row>
    <row r="17" spans="1:14" x14ac:dyDescent="0.3">
      <c r="A17" s="3" t="s">
        <v>34</v>
      </c>
      <c r="B17" s="3">
        <v>5</v>
      </c>
      <c r="C17" s="3">
        <v>193</v>
      </c>
      <c r="D17" s="3" t="str" cm="1">
        <f t="array" aca="1" ref="D17" ca="1">IF(COUNTIF($C$13:$C$17,_xlfn.MODE.MULT($C$13:$C$17))=COUNT($C$13:$C$17),INDEX($D$6:$D$9,RANDBETWEEN(1,COUNTA($D$6:$D$9))),_xlfn.IFS(AND(C17&gt;=50,C17&lt;100),$D$6,AND(C17&gt;=100,C17&lt;150),$D$7,AND(C17&gt;=150,C17&lt;200),$D$8,AND(C17&gt;=200,C17&lt;300),$D$9))</f>
        <v>STREAMING PARANORMAL</v>
      </c>
      <c r="E17" s="4" t="str">
        <f ca="1">+VLOOKUP(D17,$D$6:$E$25,2,FALSE)</f>
        <v>TERROR</v>
      </c>
      <c r="F17" s="4">
        <f ca="1">+VLOOKUP(D17,$D$5:$G$25,4,FALSE)</f>
        <v>7.7777777777777779E-2</v>
      </c>
      <c r="G17" s="4" t="str" cm="1">
        <f t="array" aca="1" ref="G17" ca="1">_xlfn.IFS(D17=$D$6,"Doblada",D17=$D$7,"Doblada Vibrosound",D17=$D$8,"Doblada Proyección Láser",D17=$D$9,"Subtitulada Vibrosound Proyección Láser")</f>
        <v>Doblada Proyección Láser</v>
      </c>
      <c r="H17" s="7">
        <f t="shared" ca="1" si="1"/>
        <v>0.45833333333333331</v>
      </c>
      <c r="I17" s="7">
        <f t="shared" ref="I17:L17" ca="1" si="5">CEILING(H17+$F17,"0:10")</f>
        <v>0.54166666666666663</v>
      </c>
      <c r="J17" s="7">
        <f t="shared" ca="1" si="5"/>
        <v>0.625</v>
      </c>
      <c r="K17" s="7">
        <f t="shared" ca="1" si="5"/>
        <v>0.70833333333333326</v>
      </c>
      <c r="L17" s="7">
        <f t="shared" ca="1" si="5"/>
        <v>0.79166666666666663</v>
      </c>
      <c r="M17" s="6">
        <f ca="1">+COUNTA(H17:L17)</f>
        <v>5</v>
      </c>
      <c r="N17" t="str">
        <f ca="1">+VLOOKUP(D17,$D$6:$F$25,3,FALSE)</f>
        <v>JÓVENES / ADULTOS</v>
      </c>
    </row>
    <row r="18" spans="1:14" x14ac:dyDescent="0.3">
      <c r="E18" s="4"/>
      <c r="F18" s="4"/>
      <c r="H18" s="7"/>
      <c r="I18" s="7"/>
      <c r="J18" s="7"/>
      <c r="K18" s="7"/>
      <c r="L18" s="7"/>
      <c r="M18" s="6"/>
    </row>
    <row r="19" spans="1:14" x14ac:dyDescent="0.3">
      <c r="A19" s="3" t="s">
        <v>35</v>
      </c>
      <c r="B19" s="3">
        <v>1</v>
      </c>
      <c r="C19" s="3">
        <v>72</v>
      </c>
      <c r="D19" t="str" cm="1">
        <f t="array" aca="1" ref="D19" ca="1">IF(COUNTIF($C$19:$C$23,_xlfn.MODE.MULT($C$19:$C$23))=COUNT($C$19:$C$23),INDEX($D$6:$D$9,RANDBETWEEN(1,COUNTA($D$6:$D$9))),_xlfn.IFS(AND(C19&gt;=50,C19&lt;100),$D$6,AND(C19&gt;=100,C19&lt;150),$D$7,AND(C19&gt;=150,C19&lt;200),$D$8,AND(C19&gt;=200,C19&lt;300),$D$9))</f>
        <v>MOON MI AMIGO EL PANDA</v>
      </c>
      <c r="E19" s="4" t="str">
        <f t="shared" ref="E19:E80" ca="1" si="6">+VLOOKUP(D19,$D$6:$E$25,2,FALSE)</f>
        <v>FAMILIAR</v>
      </c>
      <c r="F19" s="4">
        <f t="shared" ref="F19:F80" ca="1" si="7">+VLOOKUP(D19,$D$5:$G$25,4,FALSE)</f>
        <v>8.3333333333333343E-2</v>
      </c>
      <c r="G19" s="4" t="str" cm="1">
        <f t="array" aca="1" ref="G19" ca="1">_xlfn.IFS(D19=$D$6,"Doblada",D19=$D$7,"Doblada Vibrosound",D19=$D$8,"Doblada Proyección Láser",D19=$D$9,"Subtitulada Vibrosound Proyección Láser")</f>
        <v>Doblada</v>
      </c>
      <c r="H19" s="7">
        <f t="shared" ca="1" si="1"/>
        <v>0.4375</v>
      </c>
      <c r="I19" s="7">
        <f t="shared" ref="I19:L19" ca="1" si="8">CEILING(H19+$F19,"0:10")</f>
        <v>0.52083333333333326</v>
      </c>
      <c r="J19" s="7">
        <f t="shared" ca="1" si="8"/>
        <v>0.60416666666666663</v>
      </c>
      <c r="K19" s="7">
        <f t="shared" ca="1" si="8"/>
        <v>0.6875</v>
      </c>
      <c r="L19" s="7">
        <f t="shared" ca="1" si="8"/>
        <v>0.77083333333333326</v>
      </c>
      <c r="M19" s="6">
        <f t="shared" ref="M19:M80" ca="1" si="9">+COUNTA(H19:L19)</f>
        <v>5</v>
      </c>
      <c r="N19" t="str">
        <f t="shared" ref="N19:N80" ca="1" si="10">+VLOOKUP(D19,$D$6:$F$25,3,FALSE)</f>
        <v>NIÑOS</v>
      </c>
    </row>
    <row r="20" spans="1:14" x14ac:dyDescent="0.3">
      <c r="A20" s="3" t="s">
        <v>35</v>
      </c>
      <c r="B20" s="3">
        <v>2</v>
      </c>
      <c r="C20" s="3">
        <v>72</v>
      </c>
      <c r="D20" t="str" cm="1">
        <f t="array" aca="1" ref="D20" ca="1">IF(COUNTIF($C$19:$C$23,_xlfn.MODE.MULT($C$19:$C$23))=COUNT($C$19:$C$23),INDEX($D$6:$D$9,RANDBETWEEN(1,COUNTA($D$6:$D$9))),_xlfn.IFS(AND(C20&gt;=50,C20&lt;100),$D$6,AND(C20&gt;=100,C20&lt;150),$D$7,AND(C20&gt;=150,C20&lt;200),$D$8,AND(C20&gt;=200,C20&lt;300),$D$9))</f>
        <v>MOON MI AMIGO EL PANDA</v>
      </c>
      <c r="E20" s="4" t="str">
        <f t="shared" ca="1" si="6"/>
        <v>FAMILIAR</v>
      </c>
      <c r="F20" s="4">
        <f t="shared" ca="1" si="7"/>
        <v>8.3333333333333343E-2</v>
      </c>
      <c r="G20" s="4" t="str" cm="1">
        <f t="array" aca="1" ref="G20" ca="1">_xlfn.IFS(D20=$D$6,"Doblada",D20=$D$7,"Doblada Vibrosound",D20=$D$8,"Doblada Proyección Láser",D20=$D$9,"Subtitulada Vibrosound Proyección Láser")</f>
        <v>Doblada</v>
      </c>
      <c r="H20" s="7">
        <f t="shared" ca="1" si="1"/>
        <v>0.4375</v>
      </c>
      <c r="I20" s="7">
        <f t="shared" ref="I20:L20" ca="1" si="11">CEILING(H20+$F20,"0:10")</f>
        <v>0.52083333333333326</v>
      </c>
      <c r="J20" s="7">
        <f t="shared" ca="1" si="11"/>
        <v>0.60416666666666663</v>
      </c>
      <c r="K20" s="7">
        <f t="shared" ca="1" si="11"/>
        <v>0.6875</v>
      </c>
      <c r="L20" s="7">
        <f t="shared" ca="1" si="11"/>
        <v>0.77083333333333326</v>
      </c>
      <c r="M20" s="6">
        <f t="shared" ca="1" si="9"/>
        <v>5</v>
      </c>
      <c r="N20" t="str">
        <f t="shared" ca="1" si="10"/>
        <v>NIÑOS</v>
      </c>
    </row>
    <row r="21" spans="1:14" x14ac:dyDescent="0.3">
      <c r="A21" s="3" t="s">
        <v>35</v>
      </c>
      <c r="B21" s="3">
        <v>3</v>
      </c>
      <c r="C21" s="3">
        <v>72</v>
      </c>
      <c r="D21" t="str" cm="1">
        <f t="array" aca="1" ref="D21" ca="1">IF(COUNTIF($C$19:$C$23,_xlfn.MODE.MULT($C$19:$C$23))=COUNT($C$19:$C$23),INDEX($D$6:$D$9,RANDBETWEEN(1,COUNTA($D$6:$D$9))),_xlfn.IFS(AND(C21&gt;=50,C21&lt;100),$D$6,AND(C21&gt;=100,C21&lt;150),$D$7,AND(C21&gt;=150,C21&lt;200),$D$8,AND(C21&gt;=200,C21&lt;300),$D$9))</f>
        <v>MOON MI AMIGO EL PANDA</v>
      </c>
      <c r="E21" s="4" t="str">
        <f t="shared" ca="1" si="6"/>
        <v>FAMILIAR</v>
      </c>
      <c r="F21" s="4">
        <f t="shared" ca="1" si="7"/>
        <v>8.3333333333333343E-2</v>
      </c>
      <c r="G21" s="4" t="str" cm="1">
        <f t="array" aca="1" ref="G21" ca="1">_xlfn.IFS(D21=$D$6,"Doblada",D21=$D$7,"Doblada Vibrosound",D21=$D$8,"Doblada Proyección Láser",D21=$D$9,"Subtitulada Vibrosound Proyección Láser")</f>
        <v>Doblada</v>
      </c>
      <c r="H21" s="7">
        <f t="shared" ca="1" si="1"/>
        <v>0.4375</v>
      </c>
      <c r="I21" s="7">
        <f t="shared" ref="I21:L21" ca="1" si="12">CEILING(H21+$F21,"0:10")</f>
        <v>0.52083333333333326</v>
      </c>
      <c r="J21" s="7">
        <f t="shared" ca="1" si="12"/>
        <v>0.60416666666666663</v>
      </c>
      <c r="K21" s="7">
        <f t="shared" ca="1" si="12"/>
        <v>0.6875</v>
      </c>
      <c r="L21" s="7">
        <f t="shared" ca="1" si="12"/>
        <v>0.77083333333333326</v>
      </c>
      <c r="M21" s="6">
        <f t="shared" ca="1" si="9"/>
        <v>5</v>
      </c>
      <c r="N21" t="str">
        <f t="shared" ca="1" si="10"/>
        <v>NIÑOS</v>
      </c>
    </row>
    <row r="22" spans="1:14" x14ac:dyDescent="0.3">
      <c r="A22" s="3" t="s">
        <v>35</v>
      </c>
      <c r="B22" s="3">
        <v>4</v>
      </c>
      <c r="C22" s="3">
        <v>80</v>
      </c>
      <c r="D22" t="str" cm="1">
        <f t="array" aca="1" ref="D22" ca="1">IF(COUNTIF($C$19:$C$23,_xlfn.MODE.MULT($C$19:$C$23))=COUNT($C$19:$C$23),INDEX($D$6:$D$9,RANDBETWEEN(1,COUNTA($D$6:$D$9))),_xlfn.IFS(AND(C22&gt;=50,C22&lt;100),$D$6,AND(C22&gt;=100,C22&lt;150),$D$7,AND(C22&gt;=150,C22&lt;200),$D$8,AND(C22&gt;=200,C22&lt;300),$D$9))</f>
        <v>MOON MI AMIGO EL PANDA</v>
      </c>
      <c r="E22" s="4" t="str">
        <f t="shared" ca="1" si="6"/>
        <v>FAMILIAR</v>
      </c>
      <c r="F22" s="4">
        <f t="shared" ca="1" si="7"/>
        <v>8.3333333333333343E-2</v>
      </c>
      <c r="G22" s="4" t="str" cm="1">
        <f t="array" aca="1" ref="G22" ca="1">_xlfn.IFS(D22=$D$6,"Doblada",D22=$D$7,"Doblada Vibrosound",D22=$D$8,"Doblada Proyección Láser",D22=$D$9,"Subtitulada Vibrosound Proyección Láser")</f>
        <v>Doblada</v>
      </c>
      <c r="H22" s="7">
        <f t="shared" ca="1" si="1"/>
        <v>0.4375</v>
      </c>
      <c r="I22" s="7">
        <f t="shared" ref="I22:L22" ca="1" si="13">CEILING(H22+$F22,"0:10")</f>
        <v>0.52083333333333326</v>
      </c>
      <c r="J22" s="7">
        <f t="shared" ca="1" si="13"/>
        <v>0.60416666666666663</v>
      </c>
      <c r="K22" s="7">
        <f t="shared" ca="1" si="13"/>
        <v>0.6875</v>
      </c>
      <c r="L22" s="7">
        <f t="shared" ca="1" si="13"/>
        <v>0.77083333333333326</v>
      </c>
      <c r="M22" s="6">
        <f t="shared" ca="1" si="9"/>
        <v>5</v>
      </c>
      <c r="N22" t="str">
        <f t="shared" ca="1" si="10"/>
        <v>NIÑOS</v>
      </c>
    </row>
    <row r="23" spans="1:14" x14ac:dyDescent="0.3">
      <c r="A23" s="3" t="s">
        <v>35</v>
      </c>
      <c r="B23" s="3">
        <v>5</v>
      </c>
      <c r="C23" s="3">
        <v>132</v>
      </c>
      <c r="D23" t="str" cm="1">
        <f t="array" aca="1" ref="D23" ca="1">IF(COUNTIF($C$19:$C$23,_xlfn.MODE.MULT($C$19:$C$23))=COUNT($C$19:$C$23),INDEX($D$6:$D$9,RANDBETWEEN(1,COUNTA($D$6:$D$9))),_xlfn.IFS(AND(C23&gt;=50,C23&lt;100),$D$6,AND(C23&gt;=100,C23&lt;150),$D$7,AND(C23&gt;=150,C23&lt;200),$D$8,AND(C23&gt;=200,C23&lt;300),$D$9))</f>
        <v>ALERTA EXTINCIÓN</v>
      </c>
      <c r="E23" s="4" t="str">
        <f t="shared" ca="1" si="6"/>
        <v>ACCIÓN / COMEDIA</v>
      </c>
      <c r="F23" s="4">
        <f t="shared" ca="1" si="7"/>
        <v>8.2638888888888901E-2</v>
      </c>
      <c r="G23" s="4" t="str" cm="1">
        <f t="array" aca="1" ref="G23" ca="1">_xlfn.IFS(D23=$D$6,"Doblada",D23=$D$7,"Doblada Vibrosound",D23=$D$8,"Doblada Proyección Láser",D23=$D$9,"Subtitulada Vibrosound Proyección Láser")</f>
        <v>Doblada Vibrosound</v>
      </c>
      <c r="H23" s="7">
        <f t="shared" ca="1" si="1"/>
        <v>0.45833333333333331</v>
      </c>
      <c r="I23" s="7">
        <f t="shared" ref="I23:L23" ca="1" si="14">CEILING(H23+$F23,"0:10")</f>
        <v>0.54166666666666663</v>
      </c>
      <c r="J23" s="7">
        <f t="shared" ca="1" si="14"/>
        <v>0.625</v>
      </c>
      <c r="K23" s="7">
        <f t="shared" ca="1" si="14"/>
        <v>0.70833333333333326</v>
      </c>
      <c r="L23" s="7">
        <f t="shared" ca="1" si="14"/>
        <v>0.79166666666666663</v>
      </c>
      <c r="M23" s="6">
        <f t="shared" ca="1" si="9"/>
        <v>5</v>
      </c>
      <c r="N23" t="str">
        <f t="shared" ca="1" si="10"/>
        <v>JÓVENES / ADULTOS</v>
      </c>
    </row>
    <row r="24" spans="1:14" x14ac:dyDescent="0.3">
      <c r="E24" s="4"/>
      <c r="F24" s="4"/>
      <c r="G24" s="4"/>
      <c r="H24" s="7"/>
      <c r="I24" s="7"/>
      <c r="J24" s="7"/>
      <c r="K24" s="7"/>
      <c r="L24" s="7"/>
      <c r="M24" s="6"/>
    </row>
    <row r="25" spans="1:14" x14ac:dyDescent="0.3">
      <c r="A25" s="3" t="s">
        <v>36</v>
      </c>
      <c r="B25" s="3">
        <v>1</v>
      </c>
      <c r="C25" s="3">
        <v>171</v>
      </c>
      <c r="D25" t="str" cm="1">
        <f t="array" aca="1" ref="D25" ca="1">IF(COUNTIF($C$25:$C$27,_xlfn.MODE.MULT($C$25:$C$27))=COUNT($C$25:$C$27),INDEX($D$6:$D$9,RANDBETWEEN(1,COUNTA($D$6:$D$9))),_xlfn.IFS(AND(C25&gt;=50,C25&lt;100),$D$6,AND(C25&gt;=100,C25&lt;150),$D$7,AND(C25&gt;=150,C25&lt;200),$D$8,AND(C25&gt;=200,C25&lt;300),$D$9))</f>
        <v>STREAMING PARANORMAL</v>
      </c>
      <c r="E25" s="4" t="str">
        <f t="shared" ca="1" si="6"/>
        <v>TERROR</v>
      </c>
      <c r="F25" s="4">
        <f t="shared" ca="1" si="7"/>
        <v>7.7777777777777779E-2</v>
      </c>
      <c r="G25" s="4" t="str" cm="1">
        <f t="array" aca="1" ref="G25" ca="1">_xlfn.IFS(D25=$D$6,"Doblada",D25=$D$7,"Doblada Vibrosound",D25=$D$8,"Doblada Proyección Láser",D25=$D$9,"Subtitulada Vibrosound Proyección Láser")</f>
        <v>Doblada Proyección Láser</v>
      </c>
      <c r="H25" s="7">
        <f t="shared" ca="1" si="1"/>
        <v>0.45833333333333331</v>
      </c>
      <c r="I25" s="7">
        <f t="shared" ref="I25:L25" ca="1" si="15">CEILING(H25+$F25,"0:10")</f>
        <v>0.54166666666666663</v>
      </c>
      <c r="J25" s="7">
        <f t="shared" ca="1" si="15"/>
        <v>0.625</v>
      </c>
      <c r="K25" s="7">
        <f t="shared" ca="1" si="15"/>
        <v>0.70833333333333326</v>
      </c>
      <c r="L25" s="7">
        <f t="shared" ca="1" si="15"/>
        <v>0.79166666666666663</v>
      </c>
      <c r="M25" s="6">
        <f t="shared" ca="1" si="9"/>
        <v>5</v>
      </c>
      <c r="N25" t="str">
        <f t="shared" ca="1" si="10"/>
        <v>JÓVENES / ADULTOS</v>
      </c>
    </row>
    <row r="26" spans="1:14" x14ac:dyDescent="0.3">
      <c r="A26" s="3" t="s">
        <v>36</v>
      </c>
      <c r="B26" s="3">
        <v>2</v>
      </c>
      <c r="C26" s="3">
        <v>171</v>
      </c>
      <c r="D26" t="str" cm="1">
        <f t="array" aca="1" ref="D26" ca="1">IF(COUNTIF($C$25:$C$27,_xlfn.MODE.MULT($C$25:$C$27))=COUNT($C$25:$C$27),INDEX($D$6:$D$9,RANDBETWEEN(1,COUNTA($D$6:$D$9))),_xlfn.IFS(AND(C26&gt;=50,C26&lt;100),$D$6,AND(C26&gt;=100,C26&lt;150),$D$7,AND(C26&gt;=150,C26&lt;200),$D$8,AND(C26&gt;=200,C26&lt;300),$D$9))</f>
        <v>ALERTA EXTINCIÓN</v>
      </c>
      <c r="E26" s="4" t="str">
        <f t="shared" ca="1" si="6"/>
        <v>ACCIÓN / COMEDIA</v>
      </c>
      <c r="F26" s="4">
        <f t="shared" ca="1" si="7"/>
        <v>8.2638888888888901E-2</v>
      </c>
      <c r="G26" s="4" t="str" cm="1">
        <f t="array" aca="1" ref="G26" ca="1">_xlfn.IFS(D26=$D$6,"Doblada",D26=$D$7,"Doblada Vibrosound",D26=$D$8,"Doblada Proyección Láser",D26=$D$9,"Subtitulada Vibrosound Proyección Láser")</f>
        <v>Doblada Vibrosound</v>
      </c>
      <c r="H26" s="7">
        <f t="shared" ca="1" si="1"/>
        <v>0.45833333333333331</v>
      </c>
      <c r="I26" s="7">
        <f t="shared" ref="I26:L26" ca="1" si="16">CEILING(H26+$F26,"0:10")</f>
        <v>0.54166666666666663</v>
      </c>
      <c r="J26" s="7">
        <f t="shared" ca="1" si="16"/>
        <v>0.625</v>
      </c>
      <c r="K26" s="7">
        <f t="shared" ca="1" si="16"/>
        <v>0.70833333333333326</v>
      </c>
      <c r="L26" s="7">
        <f t="shared" ca="1" si="16"/>
        <v>0.79166666666666663</v>
      </c>
      <c r="M26" s="6">
        <f t="shared" ca="1" si="9"/>
        <v>5</v>
      </c>
      <c r="N26" t="str">
        <f t="shared" ca="1" si="10"/>
        <v>JÓVENES / ADULTOS</v>
      </c>
    </row>
    <row r="27" spans="1:14" x14ac:dyDescent="0.3">
      <c r="A27" s="3" t="s">
        <v>36</v>
      </c>
      <c r="B27" s="3">
        <v>3</v>
      </c>
      <c r="C27" s="3">
        <v>171</v>
      </c>
      <c r="D27" t="str" cm="1">
        <f t="array" aca="1" ref="D27" ca="1">IF(COUNTIF($C$25:$C$27,_xlfn.MODE.MULT($C$25:$C$27))=COUNT($C$25:$C$27),INDEX($D$6:$D$9,RANDBETWEEN(1,COUNTA($D$6:$D$9))),_xlfn.IFS(AND(C27&gt;=50,C27&lt;100),$D$6,AND(C27&gt;=100,C27&lt;150),$D$7,AND(C27&gt;=150,C27&lt;200),$D$8,AND(C27&gt;=200,C27&lt;300),$D$9))</f>
        <v>MARTY SUPREMO</v>
      </c>
      <c r="E27" s="4" t="str">
        <f t="shared" ca="1" si="6"/>
        <v>DRAMA</v>
      </c>
      <c r="F27" s="4">
        <f t="shared" ca="1" si="7"/>
        <v>0.11805555555555557</v>
      </c>
      <c r="G27" s="4" t="str" cm="1">
        <f t="array" aca="1" ref="G27" ca="1">_xlfn.IFS(D27=$D$6,"Doblada",D27=$D$7,"Doblada Vibrosound",D27=$D$8,"Doblada Proyección Láser",D27=$D$9,"Subtitulada Vibrosound Proyección Láser")</f>
        <v>Subtitulada Vibrosound Proyección Láser</v>
      </c>
      <c r="H27" s="7">
        <f t="shared" ca="1" si="1"/>
        <v>0.45833333333333331</v>
      </c>
      <c r="I27" s="7">
        <f t="shared" ref="I27:L27" ca="1" si="17">CEILING(H27+$F27,"0:10")</f>
        <v>0.57638888888888884</v>
      </c>
      <c r="J27" s="7">
        <f t="shared" ca="1" si="17"/>
        <v>0.69444444444444442</v>
      </c>
      <c r="K27" s="7">
        <f t="shared" ca="1" si="17"/>
        <v>0.8125</v>
      </c>
      <c r="L27" s="7">
        <f t="shared" ca="1" si="17"/>
        <v>0.93055555555555547</v>
      </c>
      <c r="M27" s="6">
        <f t="shared" ca="1" si="9"/>
        <v>5</v>
      </c>
      <c r="N27" t="str">
        <f t="shared" ca="1" si="10"/>
        <v>ADULTOS</v>
      </c>
    </row>
    <row r="28" spans="1:14" x14ac:dyDescent="0.3">
      <c r="E28" s="4"/>
      <c r="F28" s="4"/>
      <c r="G28" s="4"/>
      <c r="H28" s="7"/>
      <c r="I28" s="7"/>
      <c r="J28" s="7"/>
      <c r="K28" s="7"/>
      <c r="L28" s="7"/>
      <c r="M28" s="6"/>
    </row>
    <row r="29" spans="1:14" x14ac:dyDescent="0.3">
      <c r="A29" s="3" t="s">
        <v>37</v>
      </c>
      <c r="B29" s="3">
        <v>1</v>
      </c>
      <c r="C29" s="3">
        <v>185</v>
      </c>
      <c r="D29" t="str" cm="1">
        <f t="array" aca="1" ref="D29" ca="1">IF(COUNTIF($C$29:$C$34,_xlfn.MODE.MULT($C$29:$C$34))=COUNT($C$29:$C$34),INDEX($D$6:$D$9,RANDBETWEEN(1,COUNTA($D$6:$D$9))),_xlfn.IFS(AND(C29&gt;=50,C29&lt;100),$D$6,AND(C29&gt;=100,C29&lt;150),$D$7,AND(C29&gt;=150,C29&lt;200),$D$8,AND(C29&gt;=200,C29&lt;300),$D$9))</f>
        <v>MOON MI AMIGO EL PANDA</v>
      </c>
      <c r="E29" s="4" t="str">
        <f t="shared" ca="1" si="6"/>
        <v>FAMILIAR</v>
      </c>
      <c r="F29" s="4">
        <f t="shared" ca="1" si="7"/>
        <v>8.3333333333333343E-2</v>
      </c>
      <c r="G29" s="4" t="str" cm="1">
        <f t="array" aca="1" ref="G29" ca="1">_xlfn.IFS(D29=$D$6,"Doblada",D29=$D$7,"Doblada Vibrosound",D29=$D$8,"Doblada Proyección Láser",D29=$D$9,"Subtitulada Vibrosound Proyección Láser")</f>
        <v>Doblada</v>
      </c>
      <c r="H29" s="7">
        <f ca="1">TIME(
    IF(ISNUMBER(SEARCH("FAMILIAR", E29)), 10, 11) + IF(OR(ISNUMBER(SEARCH("IQUITOS", A29)), ISNUMBER(SEARCH("TARAPOTO", A29)), ISNUMBER(SEARCH("TINGO", A29)), ISNUMBER(SEARCH("JAEN", A29))), 1, 0),
    IF(ISNUMBER(SEARCH("FAMILIAR", E29)), 30, 0),
    0
)</f>
        <v>0.4375</v>
      </c>
      <c r="I29" s="7">
        <f t="shared" ref="I29:L29" ca="1" si="18">CEILING(H29+$F29,"0:10")</f>
        <v>0.52083333333333326</v>
      </c>
      <c r="J29" s="7">
        <f t="shared" ca="1" si="18"/>
        <v>0.60416666666666663</v>
      </c>
      <c r="K29" s="7">
        <f t="shared" ca="1" si="18"/>
        <v>0.6875</v>
      </c>
      <c r="L29" s="7">
        <f t="shared" ca="1" si="18"/>
        <v>0.77083333333333326</v>
      </c>
      <c r="M29" s="6">
        <f t="shared" ca="1" si="9"/>
        <v>5</v>
      </c>
      <c r="N29" t="str">
        <f t="shared" ca="1" si="10"/>
        <v>NIÑOS</v>
      </c>
    </row>
    <row r="30" spans="1:14" x14ac:dyDescent="0.3">
      <c r="A30" s="3" t="s">
        <v>37</v>
      </c>
      <c r="B30" s="3">
        <v>2</v>
      </c>
      <c r="C30" s="3">
        <v>185</v>
      </c>
      <c r="D30" t="str" cm="1">
        <f t="array" aca="1" ref="D30" ca="1">IF(COUNTIF($C$29:$C$34,_xlfn.MODE.MULT($C$29:$C$34))=COUNT($C$29:$C$34),INDEX($D$6:$D$9,RANDBETWEEN(1,COUNTA($D$6:$D$9))),_xlfn.IFS(AND(C30&gt;=50,C30&lt;100),$D$6,AND(C30&gt;=100,C30&lt;150),$D$7,AND(C30&gt;=150,C30&lt;200),$D$8,AND(C30&gt;=200,C30&lt;300),$D$9))</f>
        <v>ALERTA EXTINCIÓN</v>
      </c>
      <c r="E30" s="4" t="str">
        <f t="shared" ca="1" si="6"/>
        <v>ACCIÓN / COMEDIA</v>
      </c>
      <c r="F30" s="4">
        <f t="shared" ca="1" si="7"/>
        <v>8.2638888888888901E-2</v>
      </c>
      <c r="G30" s="4" t="str" cm="1">
        <f t="array" aca="1" ref="G30" ca="1">_xlfn.IFS(D30=$D$6,"Doblada",D30=$D$7,"Doblada Vibrosound",D30=$D$8,"Doblada Proyección Láser",D30=$D$9,"Subtitulada Vibrosound Proyección Láser")</f>
        <v>Doblada Vibrosound</v>
      </c>
      <c r="H30" s="7">
        <f t="shared" ca="1" si="1"/>
        <v>0.45833333333333331</v>
      </c>
      <c r="I30" s="7">
        <f t="shared" ref="I30:L30" ca="1" si="19">CEILING(H30+$F30,"0:10")</f>
        <v>0.54166666666666663</v>
      </c>
      <c r="J30" s="7">
        <f t="shared" ca="1" si="19"/>
        <v>0.625</v>
      </c>
      <c r="K30" s="7">
        <f t="shared" ca="1" si="19"/>
        <v>0.70833333333333326</v>
      </c>
      <c r="L30" s="7">
        <f t="shared" ca="1" si="19"/>
        <v>0.79166666666666663</v>
      </c>
      <c r="M30" s="6">
        <f t="shared" ca="1" si="9"/>
        <v>5</v>
      </c>
      <c r="N30" t="str">
        <f t="shared" ca="1" si="10"/>
        <v>JÓVENES / ADULTOS</v>
      </c>
    </row>
    <row r="31" spans="1:14" x14ac:dyDescent="0.3">
      <c r="A31" s="3" t="s">
        <v>37</v>
      </c>
      <c r="B31" s="3">
        <v>3</v>
      </c>
      <c r="C31" s="3">
        <v>185</v>
      </c>
      <c r="D31" t="str" cm="1">
        <f t="array" aca="1" ref="D31" ca="1">IF(COUNTIF($C$29:$C$34,_xlfn.MODE.MULT($C$29:$C$34))=COUNT($C$29:$C$34),INDEX($D$6:$D$9,RANDBETWEEN(1,COUNTA($D$6:$D$9))),_xlfn.IFS(AND(C31&gt;=50,C31&lt;100),$D$6,AND(C31&gt;=100,C31&lt;150),$D$7,AND(C31&gt;=150,C31&lt;200),$D$8,AND(C31&gt;=200,C31&lt;300),$D$9))</f>
        <v>MARTY SUPREMO</v>
      </c>
      <c r="E31" s="4" t="str">
        <f t="shared" ca="1" si="6"/>
        <v>DRAMA</v>
      </c>
      <c r="F31" s="4">
        <f t="shared" ca="1" si="7"/>
        <v>0.11805555555555557</v>
      </c>
      <c r="G31" s="4" t="str" cm="1">
        <f t="array" aca="1" ref="G31" ca="1">_xlfn.IFS(D31=$D$6,"Doblada",D31=$D$7,"Doblada Vibrosound",D31=$D$8,"Doblada Proyección Láser",D31=$D$9,"Subtitulada Vibrosound Proyección Láser")</f>
        <v>Subtitulada Vibrosound Proyección Láser</v>
      </c>
      <c r="H31" s="7">
        <f t="shared" ca="1" si="1"/>
        <v>0.45833333333333331</v>
      </c>
      <c r="I31" s="7">
        <f t="shared" ref="I31:L31" ca="1" si="20">CEILING(H31+$F31,"0:10")</f>
        <v>0.57638888888888884</v>
      </c>
      <c r="J31" s="7">
        <f t="shared" ca="1" si="20"/>
        <v>0.69444444444444442</v>
      </c>
      <c r="K31" s="7">
        <f t="shared" ca="1" si="20"/>
        <v>0.8125</v>
      </c>
      <c r="L31" s="7">
        <f t="shared" ca="1" si="20"/>
        <v>0.93055555555555547</v>
      </c>
      <c r="M31" s="6">
        <f t="shared" ca="1" si="9"/>
        <v>5</v>
      </c>
      <c r="N31" t="str">
        <f t="shared" ca="1" si="10"/>
        <v>ADULTOS</v>
      </c>
    </row>
    <row r="32" spans="1:14" x14ac:dyDescent="0.3">
      <c r="A32" s="3" t="s">
        <v>37</v>
      </c>
      <c r="B32" s="3">
        <v>4</v>
      </c>
      <c r="C32" s="3">
        <v>185</v>
      </c>
      <c r="D32" t="str" cm="1">
        <f t="array" aca="1" ref="D32" ca="1">IF(COUNTIF($C$29:$C$34,_xlfn.MODE.MULT($C$29:$C$34))=COUNT($C$29:$C$34),INDEX($D$6:$D$9,RANDBETWEEN(1,COUNTA($D$6:$D$9))),_xlfn.IFS(AND(C32&gt;=50,C32&lt;100),$D$6,AND(C32&gt;=100,C32&lt;150),$D$7,AND(C32&gt;=150,C32&lt;200),$D$8,AND(C32&gt;=200,C32&lt;300),$D$9))</f>
        <v>MOON MI AMIGO EL PANDA</v>
      </c>
      <c r="E32" s="4" t="str">
        <f t="shared" ca="1" si="6"/>
        <v>FAMILIAR</v>
      </c>
      <c r="F32" s="4">
        <f t="shared" ca="1" si="7"/>
        <v>8.3333333333333343E-2</v>
      </c>
      <c r="G32" s="4" t="str" cm="1">
        <f t="array" aca="1" ref="G32" ca="1">_xlfn.IFS(D32=$D$6,"Doblada",D32=$D$7,"Doblada Vibrosound",D32=$D$8,"Doblada Proyección Láser",D32=$D$9,"Subtitulada Vibrosound Proyección Láser")</f>
        <v>Doblada</v>
      </c>
      <c r="H32" s="7">
        <f t="shared" ca="1" si="1"/>
        <v>0.4375</v>
      </c>
      <c r="I32" s="7">
        <f t="shared" ref="I32:L32" ca="1" si="21">CEILING(H32+$F32,"0:10")</f>
        <v>0.52083333333333326</v>
      </c>
      <c r="J32" s="7">
        <f t="shared" ca="1" si="21"/>
        <v>0.60416666666666663</v>
      </c>
      <c r="K32" s="7">
        <f t="shared" ca="1" si="21"/>
        <v>0.6875</v>
      </c>
      <c r="L32" s="7">
        <f t="shared" ca="1" si="21"/>
        <v>0.77083333333333326</v>
      </c>
      <c r="M32" s="6">
        <f t="shared" ca="1" si="9"/>
        <v>5</v>
      </c>
      <c r="N32" t="str">
        <f t="shared" ca="1" si="10"/>
        <v>NIÑOS</v>
      </c>
    </row>
    <row r="33" spans="1:14" x14ac:dyDescent="0.3">
      <c r="A33" s="3" t="s">
        <v>37</v>
      </c>
      <c r="B33" s="3">
        <v>5</v>
      </c>
      <c r="C33" s="3">
        <v>185</v>
      </c>
      <c r="D33" t="str" cm="1">
        <f t="array" aca="1" ref="D33" ca="1">IF(COUNTIF($C$29:$C$34,_xlfn.MODE.MULT($C$29:$C$34))=COUNT($C$29:$C$34),INDEX($D$6:$D$9,RANDBETWEEN(1,COUNTA($D$6:$D$9))),_xlfn.IFS(AND(C33&gt;=50,C33&lt;100),$D$6,AND(C33&gt;=100,C33&lt;150),$D$7,AND(C33&gt;=150,C33&lt;200),$D$8,AND(C33&gt;=200,C33&lt;300),$D$9))</f>
        <v>ALERTA EXTINCIÓN</v>
      </c>
      <c r="E33" s="4" t="str">
        <f t="shared" ca="1" si="6"/>
        <v>ACCIÓN / COMEDIA</v>
      </c>
      <c r="F33" s="4">
        <f t="shared" ca="1" si="7"/>
        <v>8.2638888888888901E-2</v>
      </c>
      <c r="G33" s="4" t="str" cm="1">
        <f t="array" aca="1" ref="G33" ca="1">_xlfn.IFS(D33=$D$6,"Doblada",D33=$D$7,"Doblada Vibrosound",D33=$D$8,"Doblada Proyección Láser",D33=$D$9,"Subtitulada Vibrosound Proyección Láser")</f>
        <v>Doblada Vibrosound</v>
      </c>
      <c r="H33" s="7">
        <f t="shared" ca="1" si="1"/>
        <v>0.45833333333333331</v>
      </c>
      <c r="I33" s="7">
        <f t="shared" ref="I33:L33" ca="1" si="22">CEILING(H33+$F33,"0:10")</f>
        <v>0.54166666666666663</v>
      </c>
      <c r="J33" s="7">
        <f t="shared" ca="1" si="22"/>
        <v>0.625</v>
      </c>
      <c r="K33" s="7">
        <f t="shared" ca="1" si="22"/>
        <v>0.70833333333333326</v>
      </c>
      <c r="L33" s="7">
        <f t="shared" ca="1" si="22"/>
        <v>0.79166666666666663</v>
      </c>
      <c r="M33" s="6">
        <f t="shared" ca="1" si="9"/>
        <v>5</v>
      </c>
      <c r="N33" t="str">
        <f t="shared" ca="1" si="10"/>
        <v>JÓVENES / ADULTOS</v>
      </c>
    </row>
    <row r="34" spans="1:14" x14ac:dyDescent="0.3">
      <c r="A34" s="3" t="s">
        <v>37</v>
      </c>
      <c r="B34" s="3">
        <v>6</v>
      </c>
      <c r="C34" s="3">
        <v>185</v>
      </c>
      <c r="D34" t="str" cm="1">
        <f t="array" aca="1" ref="D34" ca="1">IF(COUNTIF($C$29:$C$34,_xlfn.MODE.MULT($C$29:$C$34))=COUNT($C$29:$C$34),INDEX($D$6:$D$9,RANDBETWEEN(1,COUNTA($D$6:$D$9))),_xlfn.IFS(AND(C34&gt;=50,C34&lt;100),$D$6,AND(C34&gt;=100,C34&lt;150),$D$7,AND(C34&gt;=150,C34&lt;200),$D$8,AND(C34&gt;=200,C34&lt;300),$D$9))</f>
        <v>STREAMING PARANORMAL</v>
      </c>
      <c r="E34" s="4" t="str">
        <f t="shared" ca="1" si="6"/>
        <v>TERROR</v>
      </c>
      <c r="F34" s="4">
        <f t="shared" ca="1" si="7"/>
        <v>7.7777777777777779E-2</v>
      </c>
      <c r="G34" s="4" t="str" cm="1">
        <f t="array" aca="1" ref="G34" ca="1">_xlfn.IFS(D34=$D$6,"Doblada",D34=$D$7,"Doblada Vibrosound",D34=$D$8,"Doblada Proyección Láser",D34=$D$9,"Subtitulada Vibrosound Proyección Láser")</f>
        <v>Doblada Proyección Láser</v>
      </c>
      <c r="H34" s="7">
        <f t="shared" ca="1" si="1"/>
        <v>0.45833333333333331</v>
      </c>
      <c r="I34" s="7">
        <f t="shared" ref="I34:L34" ca="1" si="23">CEILING(H34+$F34,"0:10")</f>
        <v>0.54166666666666663</v>
      </c>
      <c r="J34" s="7">
        <f t="shared" ca="1" si="23"/>
        <v>0.625</v>
      </c>
      <c r="K34" s="7">
        <f t="shared" ca="1" si="23"/>
        <v>0.70833333333333326</v>
      </c>
      <c r="L34" s="7">
        <f t="shared" ca="1" si="23"/>
        <v>0.79166666666666663</v>
      </c>
      <c r="M34" s="6">
        <f t="shared" ca="1" si="9"/>
        <v>5</v>
      </c>
      <c r="N34" t="str">
        <f t="shared" ca="1" si="10"/>
        <v>JÓVENES / ADULTOS</v>
      </c>
    </row>
    <row r="35" spans="1:14" x14ac:dyDescent="0.3">
      <c r="E35" s="4"/>
      <c r="F35" s="4"/>
      <c r="G35" s="4"/>
      <c r="H35" s="7"/>
      <c r="I35" s="7"/>
      <c r="J35" s="7"/>
      <c r="K35" s="7"/>
      <c r="L35" s="7"/>
      <c r="M35" s="6"/>
    </row>
    <row r="36" spans="1:14" x14ac:dyDescent="0.3">
      <c r="A36" s="3" t="s">
        <v>38</v>
      </c>
      <c r="B36" s="3">
        <v>1</v>
      </c>
      <c r="C36" s="3">
        <v>267</v>
      </c>
      <c r="D36" t="str" cm="1">
        <f t="array" aca="1" ref="D36" ca="1">IF(COUNTIF($C$36:$C$39,_xlfn.MODE.MULT($C$36:$C$39))=COUNT($C$36:$C$39),INDEX($D$6:$D$9,RANDBETWEEN(1,COUNTA($D$6:$D$9))),_xlfn.IFS(AND(C36&gt;=50,C36&lt;100),$D$6,AND(C36&gt;=100,C36&lt;150),$D$7,AND(C36&gt;=150,C36&lt;200),$D$8,AND(C36&gt;=200,C36&lt;300),$D$9))</f>
        <v>MARTY SUPREMO</v>
      </c>
      <c r="E36" s="4" t="str">
        <f t="shared" ca="1" si="6"/>
        <v>DRAMA</v>
      </c>
      <c r="F36" s="4">
        <f t="shared" ca="1" si="7"/>
        <v>0.11805555555555557</v>
      </c>
      <c r="G36" s="4" t="str" cm="1">
        <f t="array" aca="1" ref="G36" ca="1">_xlfn.IFS(D36=$D$6,"Doblada",D36=$D$7,"Doblada Vibrosound",D36=$D$8,"Doblada Proyección Láser",D36=$D$9,"Subtitulada Vibrosound Proyección Láser")</f>
        <v>Subtitulada Vibrosound Proyección Láser</v>
      </c>
      <c r="H36" s="7">
        <f t="shared" ca="1" si="1"/>
        <v>0.45833333333333331</v>
      </c>
      <c r="I36" s="7">
        <f t="shared" ref="I36:L36" ca="1" si="24">CEILING(H36+$F36,"0:10")</f>
        <v>0.57638888888888884</v>
      </c>
      <c r="J36" s="7">
        <f t="shared" ca="1" si="24"/>
        <v>0.69444444444444442</v>
      </c>
      <c r="K36" s="7">
        <f t="shared" ca="1" si="24"/>
        <v>0.8125</v>
      </c>
      <c r="L36" s="7">
        <f t="shared" ca="1" si="24"/>
        <v>0.93055555555555547</v>
      </c>
      <c r="M36" s="6">
        <f t="shared" ca="1" si="9"/>
        <v>5</v>
      </c>
      <c r="N36" t="str">
        <f t="shared" ca="1" si="10"/>
        <v>ADULTOS</v>
      </c>
    </row>
    <row r="37" spans="1:14" x14ac:dyDescent="0.3">
      <c r="A37" s="3" t="s">
        <v>38</v>
      </c>
      <c r="B37" s="3">
        <v>2</v>
      </c>
      <c r="C37" s="3">
        <v>267</v>
      </c>
      <c r="D37" t="str" cm="1">
        <f t="array" aca="1" ref="D37" ca="1">IF(COUNTIF($C$36:$C$39,_xlfn.MODE.MULT($C$36:$C$39))=COUNT($C$36:$C$39),INDEX($D$6:$D$9,RANDBETWEEN(1,COUNTA($D$6:$D$9))),_xlfn.IFS(AND(C37&gt;=50,C37&lt;100),$D$6,AND(C37&gt;=100,C37&lt;150),$D$7,AND(C37&gt;=150,C37&lt;200),$D$8,AND(C37&gt;=200,C37&lt;300),$D$9))</f>
        <v>STREAMING PARANORMAL</v>
      </c>
      <c r="E37" s="4" t="str">
        <f t="shared" ca="1" si="6"/>
        <v>TERROR</v>
      </c>
      <c r="F37" s="4">
        <f t="shared" ca="1" si="7"/>
        <v>7.7777777777777779E-2</v>
      </c>
      <c r="G37" s="4" t="str" cm="1">
        <f t="array" aca="1" ref="G37" ca="1">_xlfn.IFS(D37=$D$6,"Doblada",D37=$D$7,"Doblada Vibrosound",D37=$D$8,"Doblada Proyección Láser",D37=$D$9,"Subtitulada Vibrosound Proyección Láser")</f>
        <v>Doblada Proyección Láser</v>
      </c>
      <c r="H37" s="7">
        <f t="shared" ca="1" si="1"/>
        <v>0.45833333333333331</v>
      </c>
      <c r="I37" s="7">
        <f t="shared" ref="I37:L37" ca="1" si="25">CEILING(H37+$F37,"0:10")</f>
        <v>0.54166666666666663</v>
      </c>
      <c r="J37" s="7">
        <f t="shared" ca="1" si="25"/>
        <v>0.625</v>
      </c>
      <c r="K37" s="7">
        <f t="shared" ca="1" si="25"/>
        <v>0.70833333333333326</v>
      </c>
      <c r="L37" s="7">
        <f t="shared" ca="1" si="25"/>
        <v>0.79166666666666663</v>
      </c>
      <c r="M37" s="6">
        <f t="shared" ca="1" si="9"/>
        <v>5</v>
      </c>
      <c r="N37" t="str">
        <f t="shared" ca="1" si="10"/>
        <v>JÓVENES / ADULTOS</v>
      </c>
    </row>
    <row r="38" spans="1:14" x14ac:dyDescent="0.3">
      <c r="A38" s="3" t="s">
        <v>38</v>
      </c>
      <c r="B38" s="3">
        <v>3</v>
      </c>
      <c r="C38" s="3">
        <v>267</v>
      </c>
      <c r="D38" t="str" cm="1">
        <f t="array" aca="1" ref="D38" ca="1">IF(COUNTIF($C$36:$C$39,_xlfn.MODE.MULT($C$36:$C$39))=COUNT($C$36:$C$39),INDEX($D$6:$D$9,RANDBETWEEN(1,COUNTA($D$6:$D$9))),_xlfn.IFS(AND(C38&gt;=50,C38&lt;100),$D$6,AND(C38&gt;=100,C38&lt;150),$D$7,AND(C38&gt;=150,C38&lt;200),$D$8,AND(C38&gt;=200,C38&lt;300),$D$9))</f>
        <v>MARTY SUPREMO</v>
      </c>
      <c r="E38" s="4" t="str">
        <f t="shared" ca="1" si="6"/>
        <v>DRAMA</v>
      </c>
      <c r="F38" s="4">
        <f t="shared" ca="1" si="7"/>
        <v>0.11805555555555557</v>
      </c>
      <c r="G38" s="4" t="str" cm="1">
        <f t="array" aca="1" ref="G38" ca="1">_xlfn.IFS(D38=$D$6,"Doblada",D38=$D$7,"Doblada Vibrosound",D38=$D$8,"Doblada Proyección Láser",D38=$D$9,"Subtitulada Vibrosound Proyección Láser")</f>
        <v>Subtitulada Vibrosound Proyección Láser</v>
      </c>
      <c r="H38" s="7">
        <f t="shared" ca="1" si="1"/>
        <v>0.45833333333333331</v>
      </c>
      <c r="I38" s="7">
        <f t="shared" ref="I38:L38" ca="1" si="26">CEILING(H38+$F38,"0:10")</f>
        <v>0.57638888888888884</v>
      </c>
      <c r="J38" s="7">
        <f t="shared" ca="1" si="26"/>
        <v>0.69444444444444442</v>
      </c>
      <c r="K38" s="7">
        <f t="shared" ca="1" si="26"/>
        <v>0.8125</v>
      </c>
      <c r="L38" s="7">
        <f t="shared" ca="1" si="26"/>
        <v>0.93055555555555547</v>
      </c>
      <c r="M38" s="6">
        <f t="shared" ca="1" si="9"/>
        <v>5</v>
      </c>
      <c r="N38" t="str">
        <f t="shared" ca="1" si="10"/>
        <v>ADULTOS</v>
      </c>
    </row>
    <row r="39" spans="1:14" x14ac:dyDescent="0.3">
      <c r="A39" s="3" t="s">
        <v>38</v>
      </c>
      <c r="B39" s="3">
        <v>4</v>
      </c>
      <c r="C39" s="3">
        <v>267</v>
      </c>
      <c r="D39" t="str" cm="1">
        <f t="array" aca="1" ref="D39" ca="1">IF(COUNTIF($C$36:$C$39,_xlfn.MODE.MULT($C$36:$C$39))=COUNT($C$36:$C$39),INDEX($D$6:$D$9,RANDBETWEEN(1,COUNTA($D$6:$D$9))),_xlfn.IFS(AND(C39&gt;=50,C39&lt;100),$D$6,AND(C39&gt;=100,C39&lt;150),$D$7,AND(C39&gt;=150,C39&lt;200),$D$8,AND(C39&gt;=200,C39&lt;300),$D$9))</f>
        <v>STREAMING PARANORMAL</v>
      </c>
      <c r="E39" s="4" t="str">
        <f t="shared" ca="1" si="6"/>
        <v>TERROR</v>
      </c>
      <c r="F39" s="4">
        <f t="shared" ca="1" si="7"/>
        <v>7.7777777777777779E-2</v>
      </c>
      <c r="G39" s="4" t="str" cm="1">
        <f t="array" aca="1" ref="G39" ca="1">_xlfn.IFS(D39=$D$6,"Doblada",D39=$D$7,"Doblada Vibrosound",D39=$D$8,"Doblada Proyección Láser",D39=$D$9,"Subtitulada Vibrosound Proyección Láser")</f>
        <v>Doblada Proyección Láser</v>
      </c>
      <c r="H39" s="7">
        <f t="shared" ca="1" si="1"/>
        <v>0.45833333333333331</v>
      </c>
      <c r="I39" s="7">
        <f t="shared" ref="I39:L39" ca="1" si="27">CEILING(H39+$F39,"0:10")</f>
        <v>0.54166666666666663</v>
      </c>
      <c r="J39" s="7">
        <f t="shared" ca="1" si="27"/>
        <v>0.625</v>
      </c>
      <c r="K39" s="7">
        <f t="shared" ca="1" si="27"/>
        <v>0.70833333333333326</v>
      </c>
      <c r="L39" s="7">
        <f t="shared" ca="1" si="27"/>
        <v>0.79166666666666663</v>
      </c>
      <c r="M39" s="6">
        <f t="shared" ca="1" si="9"/>
        <v>5</v>
      </c>
      <c r="N39" t="str">
        <f t="shared" ca="1" si="10"/>
        <v>JÓVENES / ADULTOS</v>
      </c>
    </row>
    <row r="40" spans="1:14" x14ac:dyDescent="0.3">
      <c r="E40" s="4"/>
      <c r="F40" s="4"/>
      <c r="G40" s="4"/>
      <c r="H40" s="7"/>
      <c r="I40" s="7"/>
      <c r="J40" s="7"/>
      <c r="K40" s="7"/>
      <c r="L40" s="7"/>
      <c r="M40" s="6"/>
    </row>
    <row r="41" spans="1:14" x14ac:dyDescent="0.3">
      <c r="A41" s="3" t="s">
        <v>39</v>
      </c>
      <c r="B41" s="3">
        <v>1</v>
      </c>
      <c r="C41" s="3">
        <v>267</v>
      </c>
      <c r="D41" t="str" cm="1">
        <f t="array" aca="1" ref="D41:D42" ca="1">IF(COUNTIF($C$41:$C$44,_xlfn.MODE.MULT($C$41:$C$44))=COUNT($C$41:$C$44),INDEX($D$6:$D$9,RANDBETWEEN(1,COUNTA($D$6:$D$9))),_xlfn.IFS(AND(C41&gt;=50,C41&lt;100),$D$6,AND(C41&gt;=100,C41&lt;150),$D$7,AND(C41&gt;=150,C41&lt;200),$D$8,AND(C41&gt;=200,C41&lt;300),$D$9))</f>
        <v>MARTY SUPREMO</v>
      </c>
      <c r="E41" s="4" t="str">
        <f t="shared" ca="1" si="6"/>
        <v>DRAMA</v>
      </c>
      <c r="F41" s="4">
        <f t="shared" ca="1" si="7"/>
        <v>0.11805555555555557</v>
      </c>
      <c r="G41" s="4" t="str" cm="1">
        <f t="array" aca="1" ref="G41" ca="1">_xlfn.IFS(D41=$D$6,"Doblada",D41=$D$7,"Doblada Vibrosound",D41=$D$8,"Doblada Proyección Láser",D41=$D$9,"Subtitulada Vibrosound Proyección Láser")</f>
        <v>Subtitulada Vibrosound Proyección Láser</v>
      </c>
      <c r="H41" s="7">
        <f t="shared" ca="1" si="1"/>
        <v>0.45833333333333331</v>
      </c>
      <c r="I41" s="7">
        <f t="shared" ref="I41:L41" ca="1" si="28">CEILING(H41+$F41,"0:10")</f>
        <v>0.57638888888888884</v>
      </c>
      <c r="J41" s="7">
        <f t="shared" ca="1" si="28"/>
        <v>0.69444444444444442</v>
      </c>
      <c r="K41" s="7">
        <f t="shared" ca="1" si="28"/>
        <v>0.8125</v>
      </c>
      <c r="L41" s="7">
        <f t="shared" ca="1" si="28"/>
        <v>0.93055555555555547</v>
      </c>
      <c r="M41" s="6">
        <f t="shared" ca="1" si="9"/>
        <v>5</v>
      </c>
      <c r="N41" t="str">
        <f t="shared" ca="1" si="10"/>
        <v>ADULTOS</v>
      </c>
    </row>
    <row r="42" spans="1:14" x14ac:dyDescent="0.3">
      <c r="A42" s="3" t="s">
        <v>39</v>
      </c>
      <c r="B42" s="3">
        <v>2</v>
      </c>
      <c r="C42" s="3">
        <v>267</v>
      </c>
      <c r="D42" t="str">
        <f ca="1"/>
        <v>MARTY SUPREMO</v>
      </c>
      <c r="E42" s="4" t="str">
        <f t="shared" ca="1" si="6"/>
        <v>DRAMA</v>
      </c>
      <c r="F42" s="4">
        <f t="shared" ca="1" si="7"/>
        <v>0.11805555555555557</v>
      </c>
      <c r="G42" s="4" t="str" cm="1">
        <f t="array" aca="1" ref="G42" ca="1">_xlfn.IFS(D42=$D$6,"Doblada",D42=$D$7,"Doblada Vibrosound",D42=$D$8,"Doblada Proyección Láser",D42=$D$9,"Subtitulada Vibrosound Proyección Láser")</f>
        <v>Subtitulada Vibrosound Proyección Láser</v>
      </c>
      <c r="H42" s="7">
        <f t="shared" ca="1" si="1"/>
        <v>0.45833333333333331</v>
      </c>
      <c r="I42" s="7">
        <f t="shared" ref="I42:L42" ca="1" si="29">CEILING(H42+$F42,"0:10")</f>
        <v>0.57638888888888884</v>
      </c>
      <c r="J42" s="7">
        <f t="shared" ca="1" si="29"/>
        <v>0.69444444444444442</v>
      </c>
      <c r="K42" s="7">
        <f t="shared" ca="1" si="29"/>
        <v>0.8125</v>
      </c>
      <c r="L42" s="7">
        <f t="shared" ca="1" si="29"/>
        <v>0.93055555555555547</v>
      </c>
      <c r="M42" s="6">
        <f t="shared" ca="1" si="9"/>
        <v>5</v>
      </c>
      <c r="N42" t="str">
        <f t="shared" ca="1" si="10"/>
        <v>ADULTOS</v>
      </c>
    </row>
    <row r="43" spans="1:14" x14ac:dyDescent="0.3">
      <c r="A43" s="3" t="s">
        <v>39</v>
      </c>
      <c r="B43" s="3">
        <v>3</v>
      </c>
      <c r="C43" s="3">
        <v>197</v>
      </c>
      <c r="D43" t="str" cm="1">
        <f t="array" aca="1" ref="D43:D44" ca="1">IF(COUNTIF($C$41:$C$44,_xlfn.MODE.MULT($C$41:$C$44))=COUNT($C$41:$C$44),INDEX($D$6:$D$9,RANDBETWEEN(1,COUNTA($D$6:$D$9))),_xlfn.IFS(AND(C43&gt;=50,C43&lt;100),$D$6,AND(C43&gt;=100,C43&lt;150),$D$7,AND(C43&gt;=150,C43&lt;200),$D$8,AND(C43&gt;=200,C43&lt;300),$D$9))</f>
        <v>STREAMING PARANORMAL</v>
      </c>
      <c r="E43" s="4" t="str">
        <f t="shared" ca="1" si="6"/>
        <v>TERROR</v>
      </c>
      <c r="F43" s="4">
        <f t="shared" ca="1" si="7"/>
        <v>7.7777777777777779E-2</v>
      </c>
      <c r="G43" s="4" t="str" cm="1">
        <f t="array" aca="1" ref="G43" ca="1">_xlfn.IFS(D43=$D$6,"Doblada",D43=$D$7,"Doblada Vibrosound",D43=$D$8,"Doblada Proyección Láser",D43=$D$9,"Subtitulada Vibrosound Proyección Láser")</f>
        <v>Doblada Proyección Láser</v>
      </c>
      <c r="H43" s="7">
        <f t="shared" ca="1" si="1"/>
        <v>0.45833333333333331</v>
      </c>
      <c r="I43" s="7">
        <f t="shared" ref="I43:L43" ca="1" si="30">CEILING(H43+$F43,"0:10")</f>
        <v>0.54166666666666663</v>
      </c>
      <c r="J43" s="7">
        <f t="shared" ca="1" si="30"/>
        <v>0.625</v>
      </c>
      <c r="K43" s="7">
        <f t="shared" ca="1" si="30"/>
        <v>0.70833333333333326</v>
      </c>
      <c r="L43" s="7">
        <f t="shared" ca="1" si="30"/>
        <v>0.79166666666666663</v>
      </c>
      <c r="M43" s="6">
        <f t="shared" ca="1" si="9"/>
        <v>5</v>
      </c>
      <c r="N43" t="str">
        <f t="shared" ca="1" si="10"/>
        <v>JÓVENES / ADULTOS</v>
      </c>
    </row>
    <row r="44" spans="1:14" x14ac:dyDescent="0.3">
      <c r="A44" s="3" t="s">
        <v>39</v>
      </c>
      <c r="B44" s="3">
        <v>4</v>
      </c>
      <c r="C44" s="3">
        <v>197</v>
      </c>
      <c r="D44" t="str">
        <f ca="1"/>
        <v>STREAMING PARANORMAL</v>
      </c>
      <c r="E44" s="4" t="str">
        <f t="shared" ca="1" si="6"/>
        <v>TERROR</v>
      </c>
      <c r="F44" s="4">
        <f t="shared" ca="1" si="7"/>
        <v>7.7777777777777779E-2</v>
      </c>
      <c r="G44" s="4" t="str" cm="1">
        <f t="array" aca="1" ref="G44" ca="1">_xlfn.IFS(D44=$D$6,"Doblada",D44=$D$7,"Doblada Vibrosound",D44=$D$8,"Doblada Proyección Láser",D44=$D$9,"Subtitulada Vibrosound Proyección Láser")</f>
        <v>Doblada Proyección Láser</v>
      </c>
      <c r="H44" s="7">
        <f t="shared" ca="1" si="1"/>
        <v>0.45833333333333331</v>
      </c>
      <c r="I44" s="7">
        <f t="shared" ref="I44:L44" ca="1" si="31">CEILING(H44+$F44,"0:10")</f>
        <v>0.54166666666666663</v>
      </c>
      <c r="J44" s="7">
        <f t="shared" ca="1" si="31"/>
        <v>0.625</v>
      </c>
      <c r="K44" s="7">
        <f t="shared" ca="1" si="31"/>
        <v>0.70833333333333326</v>
      </c>
      <c r="L44" s="7">
        <f t="shared" ca="1" si="31"/>
        <v>0.79166666666666663</v>
      </c>
      <c r="M44" s="6">
        <f t="shared" ca="1" si="9"/>
        <v>5</v>
      </c>
      <c r="N44" t="str">
        <f t="shared" ca="1" si="10"/>
        <v>JÓVENES / ADULTOS</v>
      </c>
    </row>
    <row r="45" spans="1:14" x14ac:dyDescent="0.3">
      <c r="E45" s="4"/>
      <c r="F45" s="4"/>
      <c r="G45" s="4"/>
      <c r="H45" s="7">
        <f t="shared" si="1"/>
        <v>0.45833333333333331</v>
      </c>
      <c r="I45" s="7"/>
      <c r="J45" s="7"/>
      <c r="K45" s="7"/>
      <c r="L45" s="7"/>
      <c r="M45" s="6"/>
    </row>
    <row r="46" spans="1:14" x14ac:dyDescent="0.3">
      <c r="A46" s="3" t="s">
        <v>40</v>
      </c>
      <c r="B46" s="3">
        <v>1</v>
      </c>
      <c r="C46" s="3">
        <v>235</v>
      </c>
      <c r="D46" t="str" cm="1">
        <f t="array" aca="1" ref="D46" ca="1">IF(COUNTIF($C$46:$C$49,_xlfn.MODE.MULT($C$46:$C$49))=COUNT($C$46:$C$49),INDEX($D$6:$D$9,RANDBETWEEN(1,COUNTA($D$6:$D$9))),_xlfn.IFS(AND(C46&gt;=50,C46&lt;100),$D$6,AND(C46&gt;=100,C46&lt;150),$D$7,AND(C46&gt;=150,C46&lt;200),$D$8,AND(C46&gt;=200,C46&lt;300),$D$9))</f>
        <v>STREAMING PARANORMAL</v>
      </c>
      <c r="E46" s="4" t="str">
        <f t="shared" ca="1" si="6"/>
        <v>TERROR</v>
      </c>
      <c r="F46" s="4">
        <f t="shared" ca="1" si="7"/>
        <v>7.7777777777777779E-2</v>
      </c>
      <c r="G46" s="4" t="str" cm="1">
        <f t="array" aca="1" ref="G46" ca="1">_xlfn.IFS(D46=$D$6,"Doblada",D46=$D$7,"Doblada Vibrosound",D46=$D$8,"Doblada Proyección Láser",D46=$D$9,"Subtitulada Vibrosound Proyección Láser")</f>
        <v>Doblada Proyección Láser</v>
      </c>
      <c r="H46" s="7">
        <f t="shared" ca="1" si="1"/>
        <v>0.45833333333333331</v>
      </c>
      <c r="I46" s="7">
        <f t="shared" ref="I46:L46" ca="1" si="32">CEILING(H46+$F46,"0:10")</f>
        <v>0.54166666666666663</v>
      </c>
      <c r="J46" s="7">
        <f t="shared" ca="1" si="32"/>
        <v>0.625</v>
      </c>
      <c r="K46" s="7">
        <f t="shared" ca="1" si="32"/>
        <v>0.70833333333333326</v>
      </c>
      <c r="L46" s="7">
        <f t="shared" ca="1" si="32"/>
        <v>0.79166666666666663</v>
      </c>
      <c r="M46" s="6">
        <f t="shared" ca="1" si="9"/>
        <v>5</v>
      </c>
      <c r="N46" t="str">
        <f t="shared" ca="1" si="10"/>
        <v>JÓVENES / ADULTOS</v>
      </c>
    </row>
    <row r="47" spans="1:14" x14ac:dyDescent="0.3">
      <c r="A47" s="3" t="s">
        <v>40</v>
      </c>
      <c r="B47" s="3">
        <v>2</v>
      </c>
      <c r="C47" s="3">
        <v>235</v>
      </c>
      <c r="D47" t="str" cm="1">
        <f t="array" aca="1" ref="D47" ca="1">IF(COUNTIF($C$46:$C$49,_xlfn.MODE.MULT($C$46:$C$49))=COUNT($C$46:$C$49),INDEX($D$6:$D$9,RANDBETWEEN(1,COUNTA($D$6:$D$9))),_xlfn.IFS(AND(C47&gt;=50,C47&lt;100),$D$6,AND(C47&gt;=100,C47&lt;150),$D$7,AND(C47&gt;=150,C47&lt;200),$D$8,AND(C47&gt;=200,C47&lt;300),$D$9))</f>
        <v>STREAMING PARANORMAL</v>
      </c>
      <c r="E47" s="4" t="str">
        <f t="shared" ca="1" si="6"/>
        <v>TERROR</v>
      </c>
      <c r="F47" s="4">
        <f t="shared" ca="1" si="7"/>
        <v>7.7777777777777779E-2</v>
      </c>
      <c r="G47" s="4" t="str" cm="1">
        <f t="array" aca="1" ref="G47" ca="1">_xlfn.IFS(D47=$D$6,"Doblada",D47=$D$7,"Doblada Vibrosound",D47=$D$8,"Doblada Proyección Láser",D47=$D$9,"Subtitulada Vibrosound Proyección Láser")</f>
        <v>Doblada Proyección Láser</v>
      </c>
      <c r="H47" s="7">
        <f t="shared" ca="1" si="1"/>
        <v>0.45833333333333331</v>
      </c>
      <c r="I47" s="7">
        <f t="shared" ref="I47:L47" ca="1" si="33">CEILING(H47+$F47,"0:10")</f>
        <v>0.54166666666666663</v>
      </c>
      <c r="J47" s="7">
        <f t="shared" ca="1" si="33"/>
        <v>0.625</v>
      </c>
      <c r="K47" s="7">
        <f t="shared" ca="1" si="33"/>
        <v>0.70833333333333326</v>
      </c>
      <c r="L47" s="7">
        <f t="shared" ca="1" si="33"/>
        <v>0.79166666666666663</v>
      </c>
      <c r="M47" s="6">
        <f t="shared" ca="1" si="9"/>
        <v>5</v>
      </c>
      <c r="N47" t="str">
        <f t="shared" ca="1" si="10"/>
        <v>JÓVENES / ADULTOS</v>
      </c>
    </row>
    <row r="48" spans="1:14" x14ac:dyDescent="0.3">
      <c r="A48" s="3" t="s">
        <v>40</v>
      </c>
      <c r="B48" s="3">
        <v>3</v>
      </c>
      <c r="C48" s="3">
        <v>235</v>
      </c>
      <c r="D48" t="str" cm="1">
        <f t="array" aca="1" ref="D48" ca="1">IF(COUNTIF($C$46:$C$49,_xlfn.MODE.MULT($C$46:$C$49))=COUNT($C$46:$C$49),INDEX($D$6:$D$9,RANDBETWEEN(1,COUNTA($D$6:$D$9))),_xlfn.IFS(AND(C48&gt;=50,C48&lt;100),$D$6,AND(C48&gt;=100,C48&lt;150),$D$7,AND(C48&gt;=150,C48&lt;200),$D$8,AND(C48&gt;=200,C48&lt;300),$D$9))</f>
        <v>ALERTA EXTINCIÓN</v>
      </c>
      <c r="E48" s="4" t="str">
        <f t="shared" ca="1" si="6"/>
        <v>ACCIÓN / COMEDIA</v>
      </c>
      <c r="F48" s="4">
        <f t="shared" ca="1" si="7"/>
        <v>8.2638888888888901E-2</v>
      </c>
      <c r="G48" s="4" t="str" cm="1">
        <f t="array" aca="1" ref="G48" ca="1">_xlfn.IFS(D48=$D$6,"Doblada",D48=$D$7,"Doblada Vibrosound",D48=$D$8,"Doblada Proyección Láser",D48=$D$9,"Subtitulada Vibrosound Proyección Láser")</f>
        <v>Doblada Vibrosound</v>
      </c>
      <c r="H48" s="7">
        <f t="shared" ca="1" si="1"/>
        <v>0.45833333333333331</v>
      </c>
      <c r="I48" s="7">
        <f t="shared" ref="I48:L48" ca="1" si="34">CEILING(H48+$F48,"0:10")</f>
        <v>0.54166666666666663</v>
      </c>
      <c r="J48" s="7">
        <f t="shared" ca="1" si="34"/>
        <v>0.625</v>
      </c>
      <c r="K48" s="7">
        <f t="shared" ca="1" si="34"/>
        <v>0.70833333333333326</v>
      </c>
      <c r="L48" s="7">
        <f t="shared" ca="1" si="34"/>
        <v>0.79166666666666663</v>
      </c>
      <c r="M48" s="6">
        <f t="shared" ca="1" si="9"/>
        <v>5</v>
      </c>
      <c r="N48" t="str">
        <f t="shared" ca="1" si="10"/>
        <v>JÓVENES / ADULTOS</v>
      </c>
    </row>
    <row r="49" spans="1:14" x14ac:dyDescent="0.3">
      <c r="A49" s="3" t="s">
        <v>40</v>
      </c>
      <c r="B49" s="3">
        <v>4</v>
      </c>
      <c r="C49" s="3">
        <v>235</v>
      </c>
      <c r="D49" t="str" cm="1">
        <f t="array" aca="1" ref="D49" ca="1">IF(COUNTIF($C$46:$C$49,_xlfn.MODE.MULT($C$46:$C$49))=COUNT($C$46:$C$49),INDEX($D$6:$D$9,RANDBETWEEN(1,COUNTA($D$6:$D$9))),_xlfn.IFS(AND(C49&gt;=50,C49&lt;100),$D$6,AND(C49&gt;=100,C49&lt;150),$D$7,AND(C49&gt;=150,C49&lt;200),$D$8,AND(C49&gt;=200,C49&lt;300),$D$9))</f>
        <v>MOON MI AMIGO EL PANDA</v>
      </c>
      <c r="E49" s="4" t="str">
        <f t="shared" ca="1" si="6"/>
        <v>FAMILIAR</v>
      </c>
      <c r="F49" s="4">
        <f t="shared" ca="1" si="7"/>
        <v>8.3333333333333343E-2</v>
      </c>
      <c r="G49" s="4" t="str" cm="1">
        <f t="array" aca="1" ref="G49" ca="1">_xlfn.IFS(D49=$D$6,"Doblada",D49=$D$7,"Doblada Vibrosound",D49=$D$8,"Doblada Proyección Láser",D49=$D$9,"Subtitulada Vibrosound Proyección Láser")</f>
        <v>Doblada</v>
      </c>
      <c r="H49" s="7">
        <f t="shared" ca="1" si="1"/>
        <v>0.4375</v>
      </c>
      <c r="I49" s="7">
        <f t="shared" ref="I49:L49" ca="1" si="35">CEILING(H49+$F49,"0:10")</f>
        <v>0.52083333333333326</v>
      </c>
      <c r="J49" s="7">
        <f t="shared" ca="1" si="35"/>
        <v>0.60416666666666663</v>
      </c>
      <c r="K49" s="7">
        <f t="shared" ca="1" si="35"/>
        <v>0.6875</v>
      </c>
      <c r="L49" s="7">
        <f t="shared" ca="1" si="35"/>
        <v>0.77083333333333326</v>
      </c>
      <c r="M49" s="6">
        <f t="shared" ca="1" si="9"/>
        <v>5</v>
      </c>
      <c r="N49" t="str">
        <f t="shared" ca="1" si="10"/>
        <v>NIÑOS</v>
      </c>
    </row>
    <row r="50" spans="1:14" x14ac:dyDescent="0.3">
      <c r="E50" s="4"/>
      <c r="F50" s="4"/>
      <c r="G50" s="4"/>
      <c r="H50" s="7">
        <f t="shared" si="1"/>
        <v>0.45833333333333331</v>
      </c>
      <c r="I50" s="7"/>
      <c r="J50" s="7"/>
      <c r="K50" s="7"/>
      <c r="L50" s="7"/>
      <c r="M50" s="6"/>
    </row>
    <row r="51" spans="1:14" x14ac:dyDescent="0.3">
      <c r="A51" s="3" t="s">
        <v>41</v>
      </c>
      <c r="B51" s="3">
        <v>1</v>
      </c>
      <c r="C51" s="3">
        <v>143</v>
      </c>
      <c r="D51" t="str" cm="1">
        <f t="array" aca="1" ref="D51" ca="1">IF(COUNTIF($C$51:$C$54,_xlfn.MODE.MULT($C$51:$C$54))=COUNT($C$51:$C$54),INDEX($D$6:$D$9,RANDBETWEEN(1,COUNTA($D$6:$D$9))),_xlfn.IFS(AND(C51&gt;=50,C51&lt;100),$D$6,AND(C51&gt;=100,C51&lt;150),$D$7,AND(C51&gt;=150,C51&lt;200),$D$8,AND(C51&gt;=200,C51&lt;300),$D$9))</f>
        <v>ALERTA EXTINCIÓN</v>
      </c>
      <c r="E51" s="4" t="str">
        <f t="shared" ca="1" si="6"/>
        <v>ACCIÓN / COMEDIA</v>
      </c>
      <c r="F51" s="4">
        <f t="shared" ca="1" si="7"/>
        <v>8.2638888888888901E-2</v>
      </c>
      <c r="G51" s="4" t="str" cm="1">
        <f t="array" aca="1" ref="G51" ca="1">_xlfn.IFS(D51=$D$6,"Doblada",D51=$D$7,"Doblada Vibrosound",D51=$D$8,"Doblada Proyección Láser",D51=$D$9,"Subtitulada Vibrosound Proyección Láser")</f>
        <v>Doblada Vibrosound</v>
      </c>
      <c r="H51" s="7">
        <f t="shared" ca="1" si="1"/>
        <v>0.45833333333333331</v>
      </c>
      <c r="I51" s="7">
        <f t="shared" ref="I51:L51" ca="1" si="36">CEILING(H51+$F51,"0:10")</f>
        <v>0.54166666666666663</v>
      </c>
      <c r="J51" s="7">
        <f t="shared" ca="1" si="36"/>
        <v>0.625</v>
      </c>
      <c r="K51" s="7">
        <f t="shared" ca="1" si="36"/>
        <v>0.70833333333333326</v>
      </c>
      <c r="L51" s="7">
        <f t="shared" ca="1" si="36"/>
        <v>0.79166666666666663</v>
      </c>
      <c r="M51" s="6">
        <f t="shared" ca="1" si="9"/>
        <v>5</v>
      </c>
      <c r="N51" t="str">
        <f t="shared" ca="1" si="10"/>
        <v>JÓVENES / ADULTOS</v>
      </c>
    </row>
    <row r="52" spans="1:14" x14ac:dyDescent="0.3">
      <c r="A52" s="3" t="s">
        <v>41</v>
      </c>
      <c r="B52" s="3">
        <v>2</v>
      </c>
      <c r="C52" s="3">
        <v>102</v>
      </c>
      <c r="D52" t="str" cm="1">
        <f t="array" aca="1" ref="D52" ca="1">IF(COUNTIF($C$51:$C$54,_xlfn.MODE.MULT($C$51:$C$54))=COUNT($C$51:$C$54),INDEX($D$6:$D$9,RANDBETWEEN(1,COUNTA($D$6:$D$9))),_xlfn.IFS(AND(C52&gt;=50,C52&lt;100),$D$6,AND(C52&gt;=100,C52&lt;150),$D$7,AND(C52&gt;=150,C52&lt;200),$D$8,AND(C52&gt;=200,C52&lt;300),$D$9))</f>
        <v>ALERTA EXTINCIÓN</v>
      </c>
      <c r="E52" s="4" t="str">
        <f t="shared" ca="1" si="6"/>
        <v>ACCIÓN / COMEDIA</v>
      </c>
      <c r="F52" s="4">
        <f t="shared" ca="1" si="7"/>
        <v>8.2638888888888901E-2</v>
      </c>
      <c r="G52" s="4" t="str" cm="1">
        <f t="array" aca="1" ref="G52" ca="1">_xlfn.IFS(D52=$D$6,"Doblada",D52=$D$7,"Doblada Vibrosound",D52=$D$8,"Doblada Proyección Láser",D52=$D$9,"Subtitulada Vibrosound Proyección Láser")</f>
        <v>Doblada Vibrosound</v>
      </c>
      <c r="H52" s="7">
        <f t="shared" ca="1" si="1"/>
        <v>0.45833333333333331</v>
      </c>
      <c r="I52" s="7">
        <f t="shared" ref="I52:L52" ca="1" si="37">CEILING(H52+$F52,"0:10")</f>
        <v>0.54166666666666663</v>
      </c>
      <c r="J52" s="7">
        <f t="shared" ca="1" si="37"/>
        <v>0.625</v>
      </c>
      <c r="K52" s="7">
        <f t="shared" ca="1" si="37"/>
        <v>0.70833333333333326</v>
      </c>
      <c r="L52" s="7">
        <f t="shared" ca="1" si="37"/>
        <v>0.79166666666666663</v>
      </c>
      <c r="M52" s="6">
        <f t="shared" ca="1" si="9"/>
        <v>5</v>
      </c>
      <c r="N52" t="str">
        <f t="shared" ca="1" si="10"/>
        <v>JÓVENES / ADULTOS</v>
      </c>
    </row>
    <row r="53" spans="1:14" x14ac:dyDescent="0.3">
      <c r="A53" s="3" t="s">
        <v>41</v>
      </c>
      <c r="B53" s="3">
        <v>3</v>
      </c>
      <c r="C53" s="3">
        <v>174</v>
      </c>
      <c r="D53" t="str" cm="1">
        <f t="array" aca="1" ref="D53" ca="1">IF(COUNTIF($C$51:$C$54,_xlfn.MODE.MULT($C$51:$C$54))=COUNT($C$51:$C$54),INDEX($D$6:$D$9,RANDBETWEEN(1,COUNTA($D$6:$D$9))),_xlfn.IFS(AND(C53&gt;=50,C53&lt;100),$D$6,AND(C53&gt;=100,C53&lt;150),$D$7,AND(C53&gt;=150,C53&lt;200),$D$8,AND(C53&gt;=200,C53&lt;300),$D$9))</f>
        <v>STREAMING PARANORMAL</v>
      </c>
      <c r="E53" s="4" t="str">
        <f t="shared" ca="1" si="6"/>
        <v>TERROR</v>
      </c>
      <c r="F53" s="4">
        <f t="shared" ca="1" si="7"/>
        <v>7.7777777777777779E-2</v>
      </c>
      <c r="G53" s="4" t="str" cm="1">
        <f t="array" aca="1" ref="G53" ca="1">_xlfn.IFS(D53=$D$6,"Doblada",D53=$D$7,"Doblada Vibrosound",D53=$D$8,"Doblada Proyección Láser",D53=$D$9,"Subtitulada Vibrosound Proyección Láser")</f>
        <v>Doblada Proyección Láser</v>
      </c>
      <c r="H53" s="7">
        <f t="shared" ca="1" si="1"/>
        <v>0.45833333333333331</v>
      </c>
      <c r="I53" s="7">
        <f t="shared" ref="I53:L53" ca="1" si="38">CEILING(H53+$F53,"0:10")</f>
        <v>0.54166666666666663</v>
      </c>
      <c r="J53" s="7">
        <f t="shared" ca="1" si="38"/>
        <v>0.625</v>
      </c>
      <c r="K53" s="7">
        <f t="shared" ca="1" si="38"/>
        <v>0.70833333333333326</v>
      </c>
      <c r="L53" s="7">
        <f t="shared" ca="1" si="38"/>
        <v>0.79166666666666663</v>
      </c>
      <c r="M53" s="6">
        <f t="shared" ca="1" si="9"/>
        <v>5</v>
      </c>
      <c r="N53" t="str">
        <f t="shared" ca="1" si="10"/>
        <v>JÓVENES / ADULTOS</v>
      </c>
    </row>
    <row r="54" spans="1:14" x14ac:dyDescent="0.3">
      <c r="A54" s="3" t="s">
        <v>41</v>
      </c>
      <c r="B54" s="3">
        <v>4</v>
      </c>
      <c r="C54" s="3">
        <v>174</v>
      </c>
      <c r="D54" t="str" cm="1">
        <f t="array" aca="1" ref="D54" ca="1">IF(COUNTIF($C$51:$C$54,_xlfn.MODE.MULT($C$51:$C$54))=COUNT($C$51:$C$54),INDEX($D$6:$D$9,RANDBETWEEN(1,COUNTA($D$6:$D$9))),_xlfn.IFS(AND(C54&gt;=50,C54&lt;100),$D$6,AND(C54&gt;=100,C54&lt;150),$D$7,AND(C54&gt;=150,C54&lt;200),$D$8,AND(C54&gt;=200,C54&lt;300),$D$9))</f>
        <v>STREAMING PARANORMAL</v>
      </c>
      <c r="E54" s="4" t="str">
        <f t="shared" ca="1" si="6"/>
        <v>TERROR</v>
      </c>
      <c r="F54" s="4">
        <f t="shared" ca="1" si="7"/>
        <v>7.7777777777777779E-2</v>
      </c>
      <c r="G54" s="4" t="str" cm="1">
        <f t="array" aca="1" ref="G54" ca="1">_xlfn.IFS(D54=$D$6,"Doblada",D54=$D$7,"Doblada Vibrosound",D54=$D$8,"Doblada Proyección Láser",D54=$D$9,"Subtitulada Vibrosound Proyección Láser")</f>
        <v>Doblada Proyección Láser</v>
      </c>
      <c r="H54" s="7">
        <f t="shared" ca="1" si="1"/>
        <v>0.45833333333333331</v>
      </c>
      <c r="I54" s="7">
        <f t="shared" ref="I54:L54" ca="1" si="39">CEILING(H54+$F54,"0:10")</f>
        <v>0.54166666666666663</v>
      </c>
      <c r="J54" s="7">
        <f t="shared" ca="1" si="39"/>
        <v>0.625</v>
      </c>
      <c r="K54" s="7">
        <f t="shared" ca="1" si="39"/>
        <v>0.70833333333333326</v>
      </c>
      <c r="L54" s="7">
        <f t="shared" ca="1" si="39"/>
        <v>0.79166666666666663</v>
      </c>
      <c r="M54" s="6">
        <f t="shared" ca="1" si="9"/>
        <v>5</v>
      </c>
      <c r="N54" t="str">
        <f t="shared" ca="1" si="10"/>
        <v>JÓVENES / ADULTOS</v>
      </c>
    </row>
    <row r="55" spans="1:14" x14ac:dyDescent="0.3">
      <c r="E55" s="4"/>
      <c r="F55" s="4"/>
      <c r="G55" s="4"/>
      <c r="H55" s="7"/>
      <c r="I55" s="7"/>
      <c r="J55" s="7"/>
      <c r="K55" s="7"/>
      <c r="L55" s="7"/>
      <c r="M55" s="6"/>
    </row>
    <row r="56" spans="1:14" x14ac:dyDescent="0.3">
      <c r="A56" s="3" t="s">
        <v>42</v>
      </c>
      <c r="B56" s="3">
        <v>1</v>
      </c>
      <c r="C56" s="3">
        <v>184</v>
      </c>
      <c r="D56" t="str" cm="1">
        <f t="array" aca="1" ref="D56" ca="1">IF(COUNTIF($C$56:$C$59,_xlfn.MODE.MULT($C$56:$C$59))=COUNT($C$56:$C$59),INDEX($D$6:$D$9,RANDBETWEEN(1,COUNTA($D$6:$D$9))),_xlfn.IFS(AND(C56&gt;=50,C56&lt;100),$D$6,AND(C56&gt;=100,C56&lt;150),$D$7,AND(C56&gt;=150,C56&lt;200),$D$8,AND(C56&gt;=200,C56&lt;300),$D$9))</f>
        <v>MARTY SUPREMO</v>
      </c>
      <c r="E56" s="4" t="str">
        <f t="shared" ca="1" si="6"/>
        <v>DRAMA</v>
      </c>
      <c r="F56" s="4">
        <f t="shared" ca="1" si="7"/>
        <v>0.11805555555555557</v>
      </c>
      <c r="G56" s="4" t="str" cm="1">
        <f t="array" aca="1" ref="G56" ca="1">_xlfn.IFS(D56=$D$6,"Doblada",D56=$D$7,"Doblada Vibrosound",D56=$D$8,"Doblada Proyección Láser",D56=$D$9,"Subtitulada Vibrosound Proyección Láser")</f>
        <v>Subtitulada Vibrosound Proyección Láser</v>
      </c>
      <c r="H56" s="7">
        <f t="shared" ca="1" si="1"/>
        <v>0.45833333333333331</v>
      </c>
      <c r="I56" s="7">
        <f t="shared" ref="I56:L56" ca="1" si="40">CEILING(H56+$F56,"0:10")</f>
        <v>0.57638888888888884</v>
      </c>
      <c r="J56" s="7">
        <f t="shared" ca="1" si="40"/>
        <v>0.69444444444444442</v>
      </c>
      <c r="K56" s="7">
        <f t="shared" ca="1" si="40"/>
        <v>0.8125</v>
      </c>
      <c r="L56" s="7">
        <f t="shared" ca="1" si="40"/>
        <v>0.93055555555555547</v>
      </c>
      <c r="M56" s="6">
        <f t="shared" ca="1" si="9"/>
        <v>5</v>
      </c>
      <c r="N56" t="str">
        <f t="shared" ca="1" si="10"/>
        <v>ADULTOS</v>
      </c>
    </row>
    <row r="57" spans="1:14" x14ac:dyDescent="0.3">
      <c r="A57" s="3" t="s">
        <v>42</v>
      </c>
      <c r="B57" s="3">
        <v>2</v>
      </c>
      <c r="C57" s="3">
        <v>184</v>
      </c>
      <c r="D57" t="str" cm="1">
        <f t="array" aca="1" ref="D57" ca="1">IF(COUNTIF($C$56:$C$59,_xlfn.MODE.MULT($C$56:$C$59))=COUNT($C$56:$C$59),INDEX($D$6:$D$9,RANDBETWEEN(1,COUNTA($D$6:$D$9))),_xlfn.IFS(AND(C57&gt;=50,C57&lt;100),$D$6,AND(C57&gt;=100,C57&lt;150),$D$7,AND(C57&gt;=150,C57&lt;200),$D$8,AND(C57&gt;=200,C57&lt;300),$D$9))</f>
        <v>ALERTA EXTINCIÓN</v>
      </c>
      <c r="E57" s="4" t="str">
        <f t="shared" ca="1" si="6"/>
        <v>ACCIÓN / COMEDIA</v>
      </c>
      <c r="F57" s="4">
        <f t="shared" ca="1" si="7"/>
        <v>8.2638888888888901E-2</v>
      </c>
      <c r="G57" s="4" t="str" cm="1">
        <f t="array" aca="1" ref="G57" ca="1">_xlfn.IFS(D57=$D$6,"Doblada",D57=$D$7,"Doblada Vibrosound",D57=$D$8,"Doblada Proyección Láser",D57=$D$9,"Subtitulada Vibrosound Proyección Láser")</f>
        <v>Doblada Vibrosound</v>
      </c>
      <c r="H57" s="7">
        <f t="shared" ca="1" si="1"/>
        <v>0.45833333333333331</v>
      </c>
      <c r="I57" s="7">
        <f t="shared" ref="I57:L57" ca="1" si="41">CEILING(H57+$F57,"0:10")</f>
        <v>0.54166666666666663</v>
      </c>
      <c r="J57" s="7">
        <f t="shared" ca="1" si="41"/>
        <v>0.625</v>
      </c>
      <c r="K57" s="7">
        <f t="shared" ca="1" si="41"/>
        <v>0.70833333333333326</v>
      </c>
      <c r="L57" s="7">
        <f t="shared" ca="1" si="41"/>
        <v>0.79166666666666663</v>
      </c>
      <c r="M57" s="6">
        <f t="shared" ca="1" si="9"/>
        <v>5</v>
      </c>
      <c r="N57" t="str">
        <f t="shared" ca="1" si="10"/>
        <v>JÓVENES / ADULTOS</v>
      </c>
    </row>
    <row r="58" spans="1:14" x14ac:dyDescent="0.3">
      <c r="A58" s="3" t="s">
        <v>42</v>
      </c>
      <c r="B58" s="3">
        <v>3</v>
      </c>
      <c r="C58" s="3">
        <v>184</v>
      </c>
      <c r="D58" t="str" cm="1">
        <f t="array" aca="1" ref="D58" ca="1">IF(COUNTIF($C$56:$C$59,_xlfn.MODE.MULT($C$56:$C$59))=COUNT($C$56:$C$59),INDEX($D$6:$D$9,RANDBETWEEN(1,COUNTA($D$6:$D$9))),_xlfn.IFS(AND(C58&gt;=50,C58&lt;100),$D$6,AND(C58&gt;=100,C58&lt;150),$D$7,AND(C58&gt;=150,C58&lt;200),$D$8,AND(C58&gt;=200,C58&lt;300),$D$9))</f>
        <v>MARTY SUPREMO</v>
      </c>
      <c r="E58" s="4" t="str">
        <f t="shared" ca="1" si="6"/>
        <v>DRAMA</v>
      </c>
      <c r="F58" s="4">
        <f t="shared" ca="1" si="7"/>
        <v>0.11805555555555557</v>
      </c>
      <c r="G58" s="4" t="str" cm="1">
        <f t="array" aca="1" ref="G58" ca="1">_xlfn.IFS(D58=$D$6,"Doblada",D58=$D$7,"Doblada Vibrosound",D58=$D$8,"Doblada Proyección Láser",D58=$D$9,"Subtitulada Vibrosound Proyección Láser")</f>
        <v>Subtitulada Vibrosound Proyección Láser</v>
      </c>
      <c r="H58" s="7">
        <f t="shared" ca="1" si="1"/>
        <v>0.45833333333333331</v>
      </c>
      <c r="I58" s="7">
        <f t="shared" ref="I58:L58" ca="1" si="42">CEILING(H58+$F58,"0:10")</f>
        <v>0.57638888888888884</v>
      </c>
      <c r="J58" s="7">
        <f t="shared" ca="1" si="42"/>
        <v>0.69444444444444442</v>
      </c>
      <c r="K58" s="7">
        <f t="shared" ca="1" si="42"/>
        <v>0.8125</v>
      </c>
      <c r="L58" s="7">
        <f t="shared" ca="1" si="42"/>
        <v>0.93055555555555547</v>
      </c>
      <c r="M58" s="6">
        <f t="shared" ca="1" si="9"/>
        <v>5</v>
      </c>
      <c r="N58" t="str">
        <f t="shared" ca="1" si="10"/>
        <v>ADULTOS</v>
      </c>
    </row>
    <row r="59" spans="1:14" x14ac:dyDescent="0.3">
      <c r="A59" s="3" t="s">
        <v>42</v>
      </c>
      <c r="B59" s="3">
        <v>4</v>
      </c>
      <c r="C59" s="3">
        <v>184</v>
      </c>
      <c r="D59" t="str" cm="1">
        <f t="array" aca="1" ref="D59" ca="1">IF(COUNTIF($C$56:$C$59,_xlfn.MODE.MULT($C$56:$C$59))=COUNT($C$56:$C$59),INDEX($D$6:$D$9,RANDBETWEEN(1,COUNTA($D$6:$D$9))),_xlfn.IFS(AND(C59&gt;=50,C59&lt;100),$D$6,AND(C59&gt;=100,C59&lt;150),$D$7,AND(C59&gt;=150,C59&lt;200),$D$8,AND(C59&gt;=200,C59&lt;300),$D$9))</f>
        <v>MOON MI AMIGO EL PANDA</v>
      </c>
      <c r="E59" s="4" t="str">
        <f t="shared" ca="1" si="6"/>
        <v>FAMILIAR</v>
      </c>
      <c r="F59" s="4">
        <f t="shared" ca="1" si="7"/>
        <v>8.3333333333333343E-2</v>
      </c>
      <c r="G59" s="4" t="str" cm="1">
        <f t="array" aca="1" ref="G59" ca="1">_xlfn.IFS(D59=$D$6,"Doblada",D59=$D$7,"Doblada Vibrosound",D59=$D$8,"Doblada Proyección Láser",D59=$D$9,"Subtitulada Vibrosound Proyección Láser")</f>
        <v>Doblada</v>
      </c>
      <c r="H59" s="7">
        <f t="shared" ca="1" si="1"/>
        <v>0.4375</v>
      </c>
      <c r="I59" s="7">
        <f t="shared" ref="I59:L59" ca="1" si="43">CEILING(H59+$F59,"0:10")</f>
        <v>0.52083333333333326</v>
      </c>
      <c r="J59" s="7">
        <f t="shared" ca="1" si="43"/>
        <v>0.60416666666666663</v>
      </c>
      <c r="K59" s="7">
        <f t="shared" ca="1" si="43"/>
        <v>0.6875</v>
      </c>
      <c r="L59" s="7">
        <f t="shared" ca="1" si="43"/>
        <v>0.77083333333333326</v>
      </c>
      <c r="M59" s="6">
        <f t="shared" ca="1" si="9"/>
        <v>5</v>
      </c>
      <c r="N59" t="str">
        <f t="shared" ca="1" si="10"/>
        <v>NIÑOS</v>
      </c>
    </row>
    <row r="60" spans="1:14" x14ac:dyDescent="0.3">
      <c r="E60" s="4"/>
      <c r="F60" s="4"/>
      <c r="G60" s="4"/>
      <c r="H60" s="7"/>
      <c r="I60" s="7"/>
      <c r="J60" s="7"/>
      <c r="K60" s="7"/>
      <c r="L60" s="7"/>
      <c r="M60" s="6"/>
    </row>
    <row r="61" spans="1:14" x14ac:dyDescent="0.3">
      <c r="A61" s="3" t="s">
        <v>43</v>
      </c>
      <c r="B61" s="3">
        <v>1</v>
      </c>
      <c r="C61" s="3">
        <v>159</v>
      </c>
      <c r="D61" t="str" cm="1">
        <f t="array" aca="1" ref="D61" ca="1">IF(COUNTIF($C$61:$C$65,_xlfn.MODE.MULT($C$61:$C$65))=COUNT($C$61:$C$65),INDEX($D$6:$D$9,RANDBETWEEN(1,COUNTA($D$6:$D$9))),_xlfn.IFS(AND(C61&gt;=50,C61&lt;100),$D$6,AND(C61&gt;=100,C61&lt;150),$D$7,AND(C61&gt;=150,C61&lt;200),$D$8,AND(C61&gt;=200,C61&lt;300),$D$9))</f>
        <v>STREAMING PARANORMAL</v>
      </c>
      <c r="E61" s="4" t="str">
        <f t="shared" ca="1" si="6"/>
        <v>TERROR</v>
      </c>
      <c r="F61" s="4">
        <f t="shared" ca="1" si="7"/>
        <v>7.7777777777777779E-2</v>
      </c>
      <c r="G61" s="4" t="str" cm="1">
        <f t="array" aca="1" ref="G61" ca="1">_xlfn.IFS(D61=$D$6,"Doblada",D61=$D$7,"Doblada Vibrosound",D61=$D$8,"Doblada Proyección Láser",D61=$D$9,"Subtitulada Vibrosound Proyección Láser")</f>
        <v>Doblada Proyección Láser</v>
      </c>
      <c r="H61" s="7">
        <f t="shared" ca="1" si="1"/>
        <v>0.5</v>
      </c>
      <c r="I61" s="7">
        <f t="shared" ref="I61:L61" ca="1" si="44">CEILING(H61+$F61,"0:10")</f>
        <v>0.58333333333333326</v>
      </c>
      <c r="J61" s="7">
        <f t="shared" ca="1" si="44"/>
        <v>0.66666666666666663</v>
      </c>
      <c r="K61" s="7">
        <f t="shared" ca="1" si="44"/>
        <v>0.75</v>
      </c>
      <c r="L61" s="7">
        <f t="shared" ca="1" si="44"/>
        <v>0.83333333333333326</v>
      </c>
      <c r="M61" s="6">
        <f t="shared" ca="1" si="9"/>
        <v>5</v>
      </c>
      <c r="N61" t="str">
        <f t="shared" ca="1" si="10"/>
        <v>JÓVENES / ADULTOS</v>
      </c>
    </row>
    <row r="62" spans="1:14" x14ac:dyDescent="0.3">
      <c r="A62" s="3" t="s">
        <v>43</v>
      </c>
      <c r="B62" s="3">
        <v>2</v>
      </c>
      <c r="C62" s="3">
        <v>159</v>
      </c>
      <c r="D62" t="str" cm="1">
        <f t="array" aca="1" ref="D62" ca="1">IF(COUNTIF($C$61:$C$65,_xlfn.MODE.MULT($C$61:$C$65))=COUNT($C$61:$C$65),INDEX($D$6:$D$9,RANDBETWEEN(1,COUNTA($D$6:$D$9))),_xlfn.IFS(AND(C62&gt;=50,C62&lt;100),$D$6,AND(C62&gt;=100,C62&lt;150),$D$7,AND(C62&gt;=150,C62&lt;200),$D$8,AND(C62&gt;=200,C62&lt;300),$D$9))</f>
        <v>MOON MI AMIGO EL PANDA</v>
      </c>
      <c r="E62" s="4" t="str">
        <f t="shared" ca="1" si="6"/>
        <v>FAMILIAR</v>
      </c>
      <c r="F62" s="4">
        <f t="shared" ca="1" si="7"/>
        <v>8.3333333333333343E-2</v>
      </c>
      <c r="G62" s="4" t="str" cm="1">
        <f t="array" aca="1" ref="G62" ca="1">_xlfn.IFS(D62=$D$6,"Doblada",D62=$D$7,"Doblada Vibrosound",D62=$D$8,"Doblada Proyección Láser",D62=$D$9,"Subtitulada Vibrosound Proyección Láser")</f>
        <v>Doblada</v>
      </c>
      <c r="H62" s="7">
        <f t="shared" ca="1" si="1"/>
        <v>0.47916666666666669</v>
      </c>
      <c r="I62" s="7">
        <f t="shared" ref="I62:L62" ca="1" si="45">CEILING(H62+$F62,"0:10")</f>
        <v>0.5625</v>
      </c>
      <c r="J62" s="7">
        <f t="shared" ca="1" si="45"/>
        <v>0.64583333333333326</v>
      </c>
      <c r="K62" s="7">
        <f t="shared" ca="1" si="45"/>
        <v>0.72916666666666663</v>
      </c>
      <c r="L62" s="7">
        <f t="shared" ca="1" si="45"/>
        <v>0.8125</v>
      </c>
      <c r="M62" s="6">
        <f t="shared" ca="1" si="9"/>
        <v>5</v>
      </c>
      <c r="N62" t="str">
        <f t="shared" ca="1" si="10"/>
        <v>NIÑOS</v>
      </c>
    </row>
    <row r="63" spans="1:14" x14ac:dyDescent="0.3">
      <c r="A63" s="3" t="s">
        <v>43</v>
      </c>
      <c r="B63" s="3">
        <v>3</v>
      </c>
      <c r="C63" s="3">
        <v>159</v>
      </c>
      <c r="D63" t="str" cm="1">
        <f t="array" aca="1" ref="D63" ca="1">IF(COUNTIF($C$61:$C$65,_xlfn.MODE.MULT($C$61:$C$65))=COUNT($C$61:$C$65),INDEX($D$6:$D$9,RANDBETWEEN(1,COUNTA($D$6:$D$9))),_xlfn.IFS(AND(C63&gt;=50,C63&lt;100),$D$6,AND(C63&gt;=100,C63&lt;150),$D$7,AND(C63&gt;=150,C63&lt;200),$D$8,AND(C63&gt;=200,C63&lt;300),$D$9))</f>
        <v>ALERTA EXTINCIÓN</v>
      </c>
      <c r="E63" s="4" t="str">
        <f t="shared" ca="1" si="6"/>
        <v>ACCIÓN / COMEDIA</v>
      </c>
      <c r="F63" s="4">
        <f t="shared" ca="1" si="7"/>
        <v>8.2638888888888901E-2</v>
      </c>
      <c r="G63" s="4" t="str" cm="1">
        <f t="array" aca="1" ref="G63" ca="1">_xlfn.IFS(D63=$D$6,"Doblada",D63=$D$7,"Doblada Vibrosound",D63=$D$8,"Doblada Proyección Láser",D63=$D$9,"Subtitulada Vibrosound Proyección Láser")</f>
        <v>Doblada Vibrosound</v>
      </c>
      <c r="H63" s="7">
        <f t="shared" ca="1" si="1"/>
        <v>0.5</v>
      </c>
      <c r="I63" s="7">
        <f t="shared" ref="I63:L63" ca="1" si="46">CEILING(H63+$F63,"0:10")</f>
        <v>0.58333333333333326</v>
      </c>
      <c r="J63" s="7">
        <f t="shared" ca="1" si="46"/>
        <v>0.66666666666666663</v>
      </c>
      <c r="K63" s="7">
        <f t="shared" ca="1" si="46"/>
        <v>0.75</v>
      </c>
      <c r="L63" s="7">
        <f t="shared" ca="1" si="46"/>
        <v>0.83333333333333326</v>
      </c>
      <c r="M63" s="6">
        <f t="shared" ca="1" si="9"/>
        <v>5</v>
      </c>
      <c r="N63" t="str">
        <f t="shared" ca="1" si="10"/>
        <v>JÓVENES / ADULTOS</v>
      </c>
    </row>
    <row r="64" spans="1:14" x14ac:dyDescent="0.3">
      <c r="A64" s="3" t="s">
        <v>43</v>
      </c>
      <c r="B64" s="3">
        <v>4</v>
      </c>
      <c r="C64" s="3">
        <v>159</v>
      </c>
      <c r="D64" t="str" cm="1">
        <f t="array" aca="1" ref="D64" ca="1">IF(COUNTIF($C$61:$C$65,_xlfn.MODE.MULT($C$61:$C$65))=COUNT($C$61:$C$65),INDEX($D$6:$D$9,RANDBETWEEN(1,COUNTA($D$6:$D$9))),_xlfn.IFS(AND(C64&gt;=50,C64&lt;100),$D$6,AND(C64&gt;=100,C64&lt;150),$D$7,AND(C64&gt;=150,C64&lt;200),$D$8,AND(C64&gt;=200,C64&lt;300),$D$9))</f>
        <v>MOON MI AMIGO EL PANDA</v>
      </c>
      <c r="E64" s="4" t="str">
        <f t="shared" ca="1" si="6"/>
        <v>FAMILIAR</v>
      </c>
      <c r="F64" s="4">
        <f t="shared" ca="1" si="7"/>
        <v>8.3333333333333343E-2</v>
      </c>
      <c r="G64" s="4" t="str" cm="1">
        <f t="array" aca="1" ref="G64" ca="1">_xlfn.IFS(D64=$D$6,"Doblada",D64=$D$7,"Doblada Vibrosound",D64=$D$8,"Doblada Proyección Láser",D64=$D$9,"Subtitulada Vibrosound Proyección Láser")</f>
        <v>Doblada</v>
      </c>
      <c r="H64" s="7">
        <f t="shared" ca="1" si="1"/>
        <v>0.47916666666666669</v>
      </c>
      <c r="I64" s="7">
        <f t="shared" ref="I64:L64" ca="1" si="47">CEILING(H64+$F64,"0:10")</f>
        <v>0.5625</v>
      </c>
      <c r="J64" s="7">
        <f t="shared" ca="1" si="47"/>
        <v>0.64583333333333326</v>
      </c>
      <c r="K64" s="7">
        <f t="shared" ca="1" si="47"/>
        <v>0.72916666666666663</v>
      </c>
      <c r="L64" s="7">
        <f t="shared" ca="1" si="47"/>
        <v>0.8125</v>
      </c>
      <c r="M64" s="6">
        <f t="shared" ca="1" si="9"/>
        <v>5</v>
      </c>
      <c r="N64" t="str">
        <f t="shared" ca="1" si="10"/>
        <v>NIÑOS</v>
      </c>
    </row>
    <row r="65" spans="1:14" x14ac:dyDescent="0.3">
      <c r="A65" s="3" t="s">
        <v>43</v>
      </c>
      <c r="B65" s="3">
        <v>5</v>
      </c>
      <c r="C65" s="3">
        <v>159</v>
      </c>
      <c r="D65" t="str" cm="1">
        <f t="array" aca="1" ref="D65" ca="1">IF(COUNTIF($C$61:$C$65,_xlfn.MODE.MULT($C$61:$C$65))=COUNT($C$61:$C$65),INDEX($D$6:$D$9,RANDBETWEEN(1,COUNTA($D$6:$D$9))),_xlfn.IFS(AND(C65&gt;=50,C65&lt;100),$D$6,AND(C65&gt;=100,C65&lt;150),$D$7,AND(C65&gt;=150,C65&lt;200),$D$8,AND(C65&gt;=200,C65&lt;300),$D$9))</f>
        <v>MARTY SUPREMO</v>
      </c>
      <c r="E65" s="4" t="str">
        <f t="shared" ca="1" si="6"/>
        <v>DRAMA</v>
      </c>
      <c r="F65" s="4">
        <f t="shared" ca="1" si="7"/>
        <v>0.11805555555555557</v>
      </c>
      <c r="G65" s="4" t="str" cm="1">
        <f t="array" aca="1" ref="G65" ca="1">_xlfn.IFS(D65=$D$6,"Doblada",D65=$D$7,"Doblada Vibrosound",D65=$D$8,"Doblada Proyección Láser",D65=$D$9,"Subtitulada Vibrosound Proyección Láser")</f>
        <v>Subtitulada Vibrosound Proyección Láser</v>
      </c>
      <c r="H65" s="7">
        <f t="shared" ca="1" si="1"/>
        <v>0.5</v>
      </c>
      <c r="I65" s="7">
        <f t="shared" ref="I65:L65" ca="1" si="48">CEILING(H65+$F65,"0:10")</f>
        <v>0.61805555555555547</v>
      </c>
      <c r="J65" s="7">
        <f t="shared" ca="1" si="48"/>
        <v>0.73611111111111105</v>
      </c>
      <c r="K65" s="7">
        <f t="shared" ca="1" si="48"/>
        <v>0.85416666666666663</v>
      </c>
      <c r="L65" s="7">
        <f t="shared" ca="1" si="48"/>
        <v>0.97222222222222221</v>
      </c>
      <c r="M65" s="6">
        <f t="shared" ca="1" si="9"/>
        <v>5</v>
      </c>
      <c r="N65" t="str">
        <f t="shared" ca="1" si="10"/>
        <v>ADULTOS</v>
      </c>
    </row>
    <row r="66" spans="1:14" x14ac:dyDescent="0.3">
      <c r="E66" s="4"/>
      <c r="F66" s="4"/>
      <c r="G66" s="4"/>
      <c r="H66" s="7"/>
      <c r="I66" s="7"/>
      <c r="J66" s="7"/>
      <c r="K66" s="7"/>
      <c r="L66" s="7"/>
      <c r="M66" s="6"/>
    </row>
    <row r="67" spans="1:14" x14ac:dyDescent="0.3">
      <c r="A67" s="3" t="s">
        <v>44</v>
      </c>
      <c r="B67" s="3">
        <v>1</v>
      </c>
      <c r="C67" s="3">
        <v>187</v>
      </c>
      <c r="D67" t="str" cm="1">
        <f t="array" aca="1" ref="D67" ca="1">IF(COUNTIF($C$67:$C$71,_xlfn.MODE.MULT($C$67:$C$71))=COUNT($C$67:$C$71),INDEX($D$6:$D$9,RANDBETWEEN(1,COUNTA($D$6:$D$9))),_xlfn.IFS(AND(C67&gt;=50,C67&lt;100),$D$6,AND(C67&gt;=100,C67&lt;150),$D$7,AND(C67&gt;=150,C67&lt;200),$D$8,AND(C67&gt;=200,C67&lt;300),$D$9))</f>
        <v>STREAMING PARANORMAL</v>
      </c>
      <c r="E67" s="4" t="str">
        <f t="shared" ca="1" si="6"/>
        <v>TERROR</v>
      </c>
      <c r="F67" s="4">
        <f t="shared" ca="1" si="7"/>
        <v>7.7777777777777779E-2</v>
      </c>
      <c r="G67" s="4" t="str" cm="1">
        <f t="array" aca="1" ref="G67" ca="1">_xlfn.IFS(D67=$D$6,"Doblada",D67=$D$7,"Doblada Vibrosound",D67=$D$8,"Doblada Proyección Láser",D67=$D$9,"Subtitulada Vibrosound Proyección Láser")</f>
        <v>Doblada Proyección Láser</v>
      </c>
      <c r="H67" s="7">
        <f t="shared" ca="1" si="1"/>
        <v>0.5</v>
      </c>
      <c r="I67" s="7">
        <f t="shared" ref="I67:L67" ca="1" si="49">CEILING(H67+$F67,"0:10")</f>
        <v>0.58333333333333326</v>
      </c>
      <c r="J67" s="7">
        <f t="shared" ca="1" si="49"/>
        <v>0.66666666666666663</v>
      </c>
      <c r="K67" s="7">
        <f t="shared" ca="1" si="49"/>
        <v>0.75</v>
      </c>
      <c r="L67" s="7">
        <f t="shared" ca="1" si="49"/>
        <v>0.83333333333333326</v>
      </c>
      <c r="M67" s="6">
        <f t="shared" ca="1" si="9"/>
        <v>5</v>
      </c>
      <c r="N67" t="str">
        <f t="shared" ca="1" si="10"/>
        <v>JÓVENES / ADULTOS</v>
      </c>
    </row>
    <row r="68" spans="1:14" x14ac:dyDescent="0.3">
      <c r="A68" s="3" t="s">
        <v>44</v>
      </c>
      <c r="B68" s="3">
        <v>2</v>
      </c>
      <c r="C68" s="3">
        <v>187</v>
      </c>
      <c r="D68" t="str" cm="1">
        <f t="array" aca="1" ref="D68" ca="1">IF(COUNTIF($C$67:$C$71,_xlfn.MODE.MULT($C$67:$C$71))=COUNT($C$67:$C$71),INDEX($D$6:$D$9,RANDBETWEEN(1,COUNTA($D$6:$D$9))),_xlfn.IFS(AND(C68&gt;=50,C68&lt;100),$D$6,AND(C68&gt;=100,C68&lt;150),$D$7,AND(C68&gt;=150,C68&lt;200),$D$8,AND(C68&gt;=200,C68&lt;300),$D$9))</f>
        <v>STREAMING PARANORMAL</v>
      </c>
      <c r="E68" s="4" t="str">
        <f t="shared" ca="1" si="6"/>
        <v>TERROR</v>
      </c>
      <c r="F68" s="4">
        <f t="shared" ca="1" si="7"/>
        <v>7.7777777777777779E-2</v>
      </c>
      <c r="G68" s="4" t="str" cm="1">
        <f t="array" aca="1" ref="G68" ca="1">_xlfn.IFS(D68=$D$6,"Doblada",D68=$D$7,"Doblada Vibrosound",D68=$D$8,"Doblada Proyección Láser",D68=$D$9,"Subtitulada Vibrosound Proyección Láser")</f>
        <v>Doblada Proyección Láser</v>
      </c>
      <c r="H68" s="7">
        <f t="shared" ca="1" si="1"/>
        <v>0.5</v>
      </c>
      <c r="I68" s="7">
        <f t="shared" ref="I68:L68" ca="1" si="50">CEILING(H68+$F68,"0:10")</f>
        <v>0.58333333333333326</v>
      </c>
      <c r="J68" s="7">
        <f t="shared" ca="1" si="50"/>
        <v>0.66666666666666663</v>
      </c>
      <c r="K68" s="7">
        <f t="shared" ca="1" si="50"/>
        <v>0.75</v>
      </c>
      <c r="L68" s="7">
        <f t="shared" ca="1" si="50"/>
        <v>0.83333333333333326</v>
      </c>
      <c r="M68" s="6">
        <f t="shared" ca="1" si="9"/>
        <v>5</v>
      </c>
      <c r="N68" t="str">
        <f t="shared" ca="1" si="10"/>
        <v>JÓVENES / ADULTOS</v>
      </c>
    </row>
    <row r="69" spans="1:14" x14ac:dyDescent="0.3">
      <c r="A69" s="3" t="s">
        <v>44</v>
      </c>
      <c r="B69" s="3">
        <v>3</v>
      </c>
      <c r="C69" s="3">
        <v>220</v>
      </c>
      <c r="D69" t="str" cm="1">
        <f t="array" aca="1" ref="D69" ca="1">IF(COUNTIF($C$67:$C$71,_xlfn.MODE.MULT($C$67:$C$71))=COUNT($C$67:$C$71),INDEX($D$6:$D$9,RANDBETWEEN(1,COUNTA($D$6:$D$9))),_xlfn.IFS(AND(C69&gt;=50,C69&lt;100),$D$6,AND(C69&gt;=100,C69&lt;150),$D$7,AND(C69&gt;=150,C69&lt;200),$D$8,AND(C69&gt;=200,C69&lt;300),$D$9))</f>
        <v>MARTY SUPREMO</v>
      </c>
      <c r="E69" s="4" t="str">
        <f t="shared" ca="1" si="6"/>
        <v>DRAMA</v>
      </c>
      <c r="F69" s="4">
        <f t="shared" ca="1" si="7"/>
        <v>0.11805555555555557</v>
      </c>
      <c r="G69" s="4" t="str" cm="1">
        <f t="array" aca="1" ref="G69" ca="1">_xlfn.IFS(D69=$D$6,"Doblada",D69=$D$7,"Doblada Vibrosound",D69=$D$8,"Doblada Proyección Láser",D69=$D$9,"Subtitulada Vibrosound Proyección Láser")</f>
        <v>Subtitulada Vibrosound Proyección Láser</v>
      </c>
      <c r="H69" s="7">
        <f t="shared" ca="1" si="1"/>
        <v>0.5</v>
      </c>
      <c r="I69" s="7">
        <f t="shared" ref="I69:L69" ca="1" si="51">CEILING(H69+$F69,"0:10")</f>
        <v>0.61805555555555547</v>
      </c>
      <c r="J69" s="7">
        <f t="shared" ca="1" si="51"/>
        <v>0.73611111111111105</v>
      </c>
      <c r="K69" s="7">
        <f t="shared" ca="1" si="51"/>
        <v>0.85416666666666663</v>
      </c>
      <c r="L69" s="7">
        <f t="shared" ca="1" si="51"/>
        <v>0.97222222222222221</v>
      </c>
      <c r="M69" s="6">
        <f t="shared" ca="1" si="9"/>
        <v>5</v>
      </c>
      <c r="N69" t="str">
        <f t="shared" ca="1" si="10"/>
        <v>ADULTOS</v>
      </c>
    </row>
    <row r="70" spans="1:14" x14ac:dyDescent="0.3">
      <c r="A70" s="3" t="s">
        <v>44</v>
      </c>
      <c r="B70" s="3">
        <v>4</v>
      </c>
      <c r="C70" s="3">
        <v>175</v>
      </c>
      <c r="D70" t="str" cm="1">
        <f t="array" aca="1" ref="D70" ca="1">IF(COUNTIF($C$67:$C$71,_xlfn.MODE.MULT($C$67:$C$71))=COUNT($C$67:$C$71),INDEX($D$6:$D$9,RANDBETWEEN(1,COUNTA($D$6:$D$9))),_xlfn.IFS(AND(C70&gt;=50,C70&lt;100),$D$6,AND(C70&gt;=100,C70&lt;150),$D$7,AND(C70&gt;=150,C70&lt;200),$D$8,AND(C70&gt;=200,C70&lt;300),$D$9))</f>
        <v>STREAMING PARANORMAL</v>
      </c>
      <c r="E70" s="4" t="str">
        <f t="shared" ca="1" si="6"/>
        <v>TERROR</v>
      </c>
      <c r="F70" s="4">
        <f t="shared" ca="1" si="7"/>
        <v>7.7777777777777779E-2</v>
      </c>
      <c r="G70" s="4" t="str" cm="1">
        <f t="array" aca="1" ref="G70" ca="1">_xlfn.IFS(D70=$D$6,"Doblada",D70=$D$7,"Doblada Vibrosound",D70=$D$8,"Doblada Proyección Láser",D70=$D$9,"Subtitulada Vibrosound Proyección Láser")</f>
        <v>Doblada Proyección Láser</v>
      </c>
      <c r="H70" s="7">
        <f t="shared" ca="1" si="1"/>
        <v>0.5</v>
      </c>
      <c r="I70" s="7">
        <f t="shared" ref="I70:L70" ca="1" si="52">CEILING(H70+$F70,"0:10")</f>
        <v>0.58333333333333326</v>
      </c>
      <c r="J70" s="7">
        <f t="shared" ca="1" si="52"/>
        <v>0.66666666666666663</v>
      </c>
      <c r="K70" s="7">
        <f t="shared" ca="1" si="52"/>
        <v>0.75</v>
      </c>
      <c r="L70" s="7">
        <f t="shared" ca="1" si="52"/>
        <v>0.83333333333333326</v>
      </c>
      <c r="M70" s="6">
        <f t="shared" ca="1" si="9"/>
        <v>5</v>
      </c>
      <c r="N70" t="str">
        <f t="shared" ca="1" si="10"/>
        <v>JÓVENES / ADULTOS</v>
      </c>
    </row>
    <row r="71" spans="1:14" x14ac:dyDescent="0.3">
      <c r="A71" s="3" t="s">
        <v>44</v>
      </c>
      <c r="B71" s="3">
        <v>5</v>
      </c>
      <c r="C71" s="3">
        <v>169</v>
      </c>
      <c r="D71" t="str" cm="1">
        <f t="array" aca="1" ref="D71" ca="1">IF(COUNTIF($C$67:$C$71,_xlfn.MODE.MULT($C$67:$C$71))=COUNT($C$67:$C$71),INDEX($D$6:$D$9,RANDBETWEEN(1,COUNTA($D$6:$D$9))),_xlfn.IFS(AND(C71&gt;=50,C71&lt;100),$D$6,AND(C71&gt;=100,C71&lt;150),$D$7,AND(C71&gt;=150,C71&lt;200),$D$8,AND(C71&gt;=200,C71&lt;300),$D$9))</f>
        <v>STREAMING PARANORMAL</v>
      </c>
      <c r="E71" s="4" t="str">
        <f t="shared" ca="1" si="6"/>
        <v>TERROR</v>
      </c>
      <c r="F71" s="4">
        <f t="shared" ca="1" si="7"/>
        <v>7.7777777777777779E-2</v>
      </c>
      <c r="G71" s="4" t="str" cm="1">
        <f t="array" aca="1" ref="G71" ca="1">_xlfn.IFS(D71=$D$6,"Doblada",D71=$D$7,"Doblada Vibrosound",D71=$D$8,"Doblada Proyección Láser",D71=$D$9,"Subtitulada Vibrosound Proyección Láser")</f>
        <v>Doblada Proyección Láser</v>
      </c>
      <c r="H71" s="7">
        <f t="shared" ca="1" si="1"/>
        <v>0.5</v>
      </c>
      <c r="I71" s="7">
        <f t="shared" ref="I71:L71" ca="1" si="53">CEILING(H71+$F71,"0:10")</f>
        <v>0.58333333333333326</v>
      </c>
      <c r="J71" s="7">
        <f t="shared" ca="1" si="53"/>
        <v>0.66666666666666663</v>
      </c>
      <c r="K71" s="7">
        <f t="shared" ca="1" si="53"/>
        <v>0.75</v>
      </c>
      <c r="L71" s="7">
        <f t="shared" ca="1" si="53"/>
        <v>0.83333333333333326</v>
      </c>
      <c r="M71" s="6">
        <f t="shared" ca="1" si="9"/>
        <v>5</v>
      </c>
      <c r="N71" t="str">
        <f t="shared" ca="1" si="10"/>
        <v>JÓVENES / ADULTOS</v>
      </c>
    </row>
    <row r="72" spans="1:14" x14ac:dyDescent="0.3">
      <c r="E72" s="4"/>
      <c r="F72" s="4"/>
      <c r="G72" s="4"/>
      <c r="H72" s="7"/>
      <c r="I72" s="7"/>
      <c r="J72" s="7"/>
      <c r="K72" s="7"/>
      <c r="L72" s="7"/>
      <c r="M72" s="6"/>
    </row>
    <row r="73" spans="1:14" x14ac:dyDescent="0.3">
      <c r="A73" s="3" t="s">
        <v>45</v>
      </c>
      <c r="B73" s="3">
        <v>1</v>
      </c>
      <c r="C73" s="3">
        <v>235</v>
      </c>
      <c r="D73" t="str" cm="1">
        <f t="array" aca="1" ref="D73" ca="1">IF(COUNTIF($C$73:$C$76,_xlfn.MODE.MULT($C$73:$C$76))=COUNT($C$73:$C$76),INDEX($D$6:$D$9,RANDBETWEEN(1,COUNTA($D$6:$D$9))),_xlfn.IFS(AND(C73&gt;=50,C73&lt;100),$D$6,AND(C73&gt;=100,C73&lt;150),$D$7,AND(C73&gt;=150,C73&lt;200),$D$8,AND(C73&gt;=200,C73&lt;300),$D$9))</f>
        <v>STREAMING PARANORMAL</v>
      </c>
      <c r="E73" s="4" t="str">
        <f t="shared" ca="1" si="6"/>
        <v>TERROR</v>
      </c>
      <c r="F73" s="4">
        <f t="shared" ca="1" si="7"/>
        <v>7.7777777777777779E-2</v>
      </c>
      <c r="G73" s="4" t="str" cm="1">
        <f t="array" aca="1" ref="G73" ca="1">_xlfn.IFS(D73=$D$6,"Doblada",D73=$D$7,"Doblada Vibrosound",D73=$D$8,"Doblada Proyección Láser",D73=$D$9,"Subtitulada Vibrosound Proyección Láser")</f>
        <v>Doblada Proyección Láser</v>
      </c>
      <c r="H73" s="7">
        <f t="shared" ca="1" si="1"/>
        <v>0.5</v>
      </c>
      <c r="I73" s="7">
        <f t="shared" ref="I73:L73" ca="1" si="54">CEILING(H73+$F73,"0:10")</f>
        <v>0.58333333333333326</v>
      </c>
      <c r="J73" s="7">
        <f t="shared" ca="1" si="54"/>
        <v>0.66666666666666663</v>
      </c>
      <c r="K73" s="7">
        <f t="shared" ca="1" si="54"/>
        <v>0.75</v>
      </c>
      <c r="L73" s="7">
        <f t="shared" ca="1" si="54"/>
        <v>0.83333333333333326</v>
      </c>
      <c r="M73" s="6">
        <f t="shared" ca="1" si="9"/>
        <v>5</v>
      </c>
      <c r="N73" t="str">
        <f t="shared" ca="1" si="10"/>
        <v>JÓVENES / ADULTOS</v>
      </c>
    </row>
    <row r="74" spans="1:14" x14ac:dyDescent="0.3">
      <c r="A74" s="3" t="s">
        <v>45</v>
      </c>
      <c r="B74" s="3">
        <v>2</v>
      </c>
      <c r="C74" s="3">
        <v>235</v>
      </c>
      <c r="D74" t="str" cm="1">
        <f t="array" aca="1" ref="D74" ca="1">IF(COUNTIF($C$73:$C$76,_xlfn.MODE.MULT($C$73:$C$76))=COUNT($C$73:$C$76),INDEX($D$6:$D$9,RANDBETWEEN(1,COUNTA($D$6:$D$9))),_xlfn.IFS(AND(C74&gt;=50,C74&lt;100),$D$6,AND(C74&gt;=100,C74&lt;150),$D$7,AND(C74&gt;=150,C74&lt;200),$D$8,AND(C74&gt;=200,C74&lt;300),$D$9))</f>
        <v>STREAMING PARANORMAL</v>
      </c>
      <c r="E74" s="4" t="str">
        <f t="shared" ca="1" si="6"/>
        <v>TERROR</v>
      </c>
      <c r="F74" s="4">
        <f t="shared" ca="1" si="7"/>
        <v>7.7777777777777779E-2</v>
      </c>
      <c r="G74" s="4" t="str" cm="1">
        <f t="array" aca="1" ref="G74" ca="1">_xlfn.IFS(D74=$D$6,"Doblada",D74=$D$7,"Doblada Vibrosound",D74=$D$8,"Doblada Proyección Láser",D74=$D$9,"Subtitulada Vibrosound Proyección Láser")</f>
        <v>Doblada Proyección Láser</v>
      </c>
      <c r="H74" s="7">
        <f t="shared" ca="1" si="1"/>
        <v>0.5</v>
      </c>
      <c r="I74" s="7">
        <f t="shared" ref="I74:L74" ca="1" si="55">CEILING(H74+$F74,"0:10")</f>
        <v>0.58333333333333326</v>
      </c>
      <c r="J74" s="7">
        <f t="shared" ca="1" si="55"/>
        <v>0.66666666666666663</v>
      </c>
      <c r="K74" s="7">
        <f t="shared" ca="1" si="55"/>
        <v>0.75</v>
      </c>
      <c r="L74" s="7">
        <f t="shared" ca="1" si="55"/>
        <v>0.83333333333333326</v>
      </c>
      <c r="M74" s="6">
        <f t="shared" ca="1" si="9"/>
        <v>5</v>
      </c>
      <c r="N74" t="str">
        <f t="shared" ca="1" si="10"/>
        <v>JÓVENES / ADULTOS</v>
      </c>
    </row>
    <row r="75" spans="1:14" x14ac:dyDescent="0.3">
      <c r="A75" s="3" t="s">
        <v>45</v>
      </c>
      <c r="B75" s="3">
        <v>3</v>
      </c>
      <c r="C75" s="3">
        <v>235</v>
      </c>
      <c r="D75" t="str" cm="1">
        <f t="array" aca="1" ref="D75" ca="1">IF(COUNTIF($C$73:$C$76,_xlfn.MODE.MULT($C$73:$C$76))=COUNT($C$73:$C$76),INDEX($D$6:$D$9,RANDBETWEEN(1,COUNTA($D$6:$D$9))),_xlfn.IFS(AND(C75&gt;=50,C75&lt;100),$D$6,AND(C75&gt;=100,C75&lt;150),$D$7,AND(C75&gt;=150,C75&lt;200),$D$8,AND(C75&gt;=200,C75&lt;300),$D$9))</f>
        <v>STREAMING PARANORMAL</v>
      </c>
      <c r="E75" s="4" t="str">
        <f t="shared" ca="1" si="6"/>
        <v>TERROR</v>
      </c>
      <c r="F75" s="4">
        <f t="shared" ca="1" si="7"/>
        <v>7.7777777777777779E-2</v>
      </c>
      <c r="G75" s="4" t="str" cm="1">
        <f t="array" aca="1" ref="G75" ca="1">_xlfn.IFS(D75=$D$6,"Doblada",D75=$D$7,"Doblada Vibrosound",D75=$D$8,"Doblada Proyección Láser",D75=$D$9,"Subtitulada Vibrosound Proyección Láser")</f>
        <v>Doblada Proyección Láser</v>
      </c>
      <c r="H75" s="7">
        <f t="shared" ca="1" si="1"/>
        <v>0.5</v>
      </c>
      <c r="I75" s="7">
        <f t="shared" ref="I75:L75" ca="1" si="56">CEILING(H75+$F75,"0:10")</f>
        <v>0.58333333333333326</v>
      </c>
      <c r="J75" s="7">
        <f t="shared" ca="1" si="56"/>
        <v>0.66666666666666663</v>
      </c>
      <c r="K75" s="7">
        <f t="shared" ca="1" si="56"/>
        <v>0.75</v>
      </c>
      <c r="L75" s="7">
        <f t="shared" ca="1" si="56"/>
        <v>0.83333333333333326</v>
      </c>
      <c r="M75" s="6">
        <f t="shared" ca="1" si="9"/>
        <v>5</v>
      </c>
      <c r="N75" t="str">
        <f t="shared" ca="1" si="10"/>
        <v>JÓVENES / ADULTOS</v>
      </c>
    </row>
    <row r="76" spans="1:14" x14ac:dyDescent="0.3">
      <c r="A76" s="3" t="s">
        <v>45</v>
      </c>
      <c r="B76" s="3">
        <v>4</v>
      </c>
      <c r="C76" s="3">
        <v>235</v>
      </c>
      <c r="D76" t="str" cm="1">
        <f t="array" aca="1" ref="D76" ca="1">IF(COUNTIF($C$73:$C$76,_xlfn.MODE.MULT($C$73:$C$76))=COUNT($C$73:$C$76),INDEX($D$6:$D$9,RANDBETWEEN(1,COUNTA($D$6:$D$9))),_xlfn.IFS(AND(C76&gt;=50,C76&lt;100),$D$6,AND(C76&gt;=100,C76&lt;150),$D$7,AND(C76&gt;=150,C76&lt;200),$D$8,AND(C76&gt;=200,C76&lt;300),$D$9))</f>
        <v>MARTY SUPREMO</v>
      </c>
      <c r="E76" s="4" t="str">
        <f t="shared" ca="1" si="6"/>
        <v>DRAMA</v>
      </c>
      <c r="F76" s="4">
        <f t="shared" ca="1" si="7"/>
        <v>0.11805555555555557</v>
      </c>
      <c r="G76" s="4" t="str" cm="1">
        <f t="array" aca="1" ref="G76" ca="1">_xlfn.IFS(D76=$D$6,"Doblada",D76=$D$7,"Doblada Vibrosound",D76=$D$8,"Doblada Proyección Láser",D76=$D$9,"Subtitulada Vibrosound Proyección Láser")</f>
        <v>Subtitulada Vibrosound Proyección Láser</v>
      </c>
      <c r="H76" s="7">
        <f t="shared" ca="1" si="1"/>
        <v>0.5</v>
      </c>
      <c r="I76" s="7">
        <f t="shared" ref="I76:L76" ca="1" si="57">CEILING(H76+$F76,"0:10")</f>
        <v>0.61805555555555547</v>
      </c>
      <c r="J76" s="7">
        <f t="shared" ca="1" si="57"/>
        <v>0.73611111111111105</v>
      </c>
      <c r="K76" s="7">
        <f t="shared" ca="1" si="57"/>
        <v>0.85416666666666663</v>
      </c>
      <c r="L76" s="7">
        <f t="shared" ca="1" si="57"/>
        <v>0.97222222222222221</v>
      </c>
      <c r="M76" s="6">
        <f t="shared" ca="1" si="9"/>
        <v>5</v>
      </c>
      <c r="N76" t="str">
        <f t="shared" ca="1" si="10"/>
        <v>ADULTOS</v>
      </c>
    </row>
    <row r="77" spans="1:14" x14ac:dyDescent="0.3">
      <c r="E77" s="4"/>
      <c r="F77" s="4"/>
      <c r="G77" s="4"/>
      <c r="H77" s="7"/>
      <c r="I77" s="7"/>
      <c r="J77" s="7"/>
      <c r="K77" s="7"/>
      <c r="L77" s="7"/>
      <c r="M77" s="6"/>
    </row>
    <row r="78" spans="1:14" x14ac:dyDescent="0.3">
      <c r="A78" s="3" t="s">
        <v>46</v>
      </c>
      <c r="B78" s="3">
        <v>1</v>
      </c>
      <c r="C78" s="3">
        <v>208</v>
      </c>
      <c r="D78" t="str" cm="1">
        <f t="array" aca="1" ref="D78" ca="1">IF(COUNTIF($C$78:$C$80,_xlfn.MODE.MULT($C$78:$C$80))=COUNT($C$78:$C$80),INDEX($D$6:$D$9,RANDBETWEEN(1,COUNTA($D$6:$D$9))),_xlfn.IFS(AND(C78&gt;=50,C78&lt;100),$D$6,AND(C78&gt;=100,C78&lt;150),$D$7,AND(C78&gt;=150,C78&lt;200),$D$8,AND(C78&gt;=200,C78&lt;300),$D$9))</f>
        <v>MARTY SUPREMO</v>
      </c>
      <c r="E78" s="4" t="str">
        <f t="shared" ca="1" si="6"/>
        <v>DRAMA</v>
      </c>
      <c r="F78" s="4">
        <f t="shared" ca="1" si="7"/>
        <v>0.11805555555555557</v>
      </c>
      <c r="G78" s="4" t="str" cm="1">
        <f t="array" aca="1" ref="G78" ca="1">_xlfn.IFS(D78=$D$6,"Doblada",D78=$D$7,"Doblada Vibrosound",D78=$D$8,"Doblada Proyección Láser",D78=$D$9,"Subtitulada Vibrosound Proyección Láser")</f>
        <v>Subtitulada Vibrosound Proyección Láser</v>
      </c>
      <c r="H78" s="7">
        <f t="shared" ref="H78:H141" ca="1" si="58">TIME(
    IF(ISNUMBER(SEARCH("FAMILIAR", E78)), 10, 11) + IF(OR(ISNUMBER(SEARCH("IQUITOS", A78)), ISNUMBER(SEARCH("TARAPOTO", A78)), ISNUMBER(SEARCH("TINGO", A78)), ISNUMBER(SEARCH("JAEN", A78))), 1, 0),
    IF(ISNUMBER(SEARCH("FAMILIAR", E78)), 30, 0),
    0
)</f>
        <v>0.45833333333333331</v>
      </c>
      <c r="I78" s="7">
        <f t="shared" ref="I78:L78" ca="1" si="59">CEILING(H78+$F78,"0:10")</f>
        <v>0.57638888888888884</v>
      </c>
      <c r="J78" s="7">
        <f t="shared" ca="1" si="59"/>
        <v>0.69444444444444442</v>
      </c>
      <c r="K78" s="7">
        <f t="shared" ca="1" si="59"/>
        <v>0.8125</v>
      </c>
      <c r="L78" s="7">
        <f t="shared" ca="1" si="59"/>
        <v>0.93055555555555547</v>
      </c>
      <c r="M78" s="6">
        <f t="shared" ca="1" si="9"/>
        <v>5</v>
      </c>
      <c r="N78" t="str">
        <f t="shared" ca="1" si="10"/>
        <v>ADULTOS</v>
      </c>
    </row>
    <row r="79" spans="1:14" x14ac:dyDescent="0.3">
      <c r="A79" s="3" t="s">
        <v>46</v>
      </c>
      <c r="B79" s="3">
        <v>2</v>
      </c>
      <c r="C79" s="3">
        <v>208</v>
      </c>
      <c r="D79" t="str" cm="1">
        <f t="array" aca="1" ref="D79" ca="1">IF(COUNTIF($C$78:$C$80,_xlfn.MODE.MULT($C$78:$C$80))=COUNT($C$78:$C$80),INDEX($D$6:$D$9,RANDBETWEEN(1,COUNTA($D$6:$D$9))),_xlfn.IFS(AND(C79&gt;=50,C79&lt;100),$D$6,AND(C79&gt;=100,C79&lt;150),$D$7,AND(C79&gt;=150,C79&lt;200),$D$8,AND(C79&gt;=200,C79&lt;300),$D$9))</f>
        <v>STREAMING PARANORMAL</v>
      </c>
      <c r="E79" s="4" t="str">
        <f t="shared" ca="1" si="6"/>
        <v>TERROR</v>
      </c>
      <c r="F79" s="4">
        <f t="shared" ca="1" si="7"/>
        <v>7.7777777777777779E-2</v>
      </c>
      <c r="G79" s="4" t="str" cm="1">
        <f t="array" aca="1" ref="G79" ca="1">_xlfn.IFS(D79=$D$6,"Doblada",D79=$D$7,"Doblada Vibrosound",D79=$D$8,"Doblada Proyección Láser",D79=$D$9,"Subtitulada Vibrosound Proyección Láser")</f>
        <v>Doblada Proyección Láser</v>
      </c>
      <c r="H79" s="7">
        <f t="shared" ca="1" si="58"/>
        <v>0.45833333333333331</v>
      </c>
      <c r="I79" s="7">
        <f t="shared" ref="I79:L79" ca="1" si="60">CEILING(H79+$F79,"0:10")</f>
        <v>0.54166666666666663</v>
      </c>
      <c r="J79" s="7">
        <f t="shared" ca="1" si="60"/>
        <v>0.625</v>
      </c>
      <c r="K79" s="7">
        <f t="shared" ca="1" si="60"/>
        <v>0.70833333333333326</v>
      </c>
      <c r="L79" s="7">
        <f t="shared" ca="1" si="60"/>
        <v>0.79166666666666663</v>
      </c>
      <c r="M79" s="6">
        <f t="shared" ca="1" si="9"/>
        <v>5</v>
      </c>
      <c r="N79" t="str">
        <f t="shared" ca="1" si="10"/>
        <v>JÓVENES / ADULTOS</v>
      </c>
    </row>
    <row r="80" spans="1:14" x14ac:dyDescent="0.3">
      <c r="A80" s="3" t="s">
        <v>46</v>
      </c>
      <c r="B80" s="3">
        <v>3</v>
      </c>
      <c r="C80" s="3">
        <v>208</v>
      </c>
      <c r="D80" t="str" cm="1">
        <f t="array" aca="1" ref="D80" ca="1">IF(COUNTIF($C$78:$C$80,_xlfn.MODE.MULT($C$78:$C$80))=COUNT($C$78:$C$80),INDEX($D$6:$D$9,RANDBETWEEN(1,COUNTA($D$6:$D$9))),_xlfn.IFS(AND(C80&gt;=50,C80&lt;100),$D$6,AND(C80&gt;=100,C80&lt;150),$D$7,AND(C80&gt;=150,C80&lt;200),$D$8,AND(C80&gt;=200,C80&lt;300),$D$9))</f>
        <v>MOON MI AMIGO EL PANDA</v>
      </c>
      <c r="E80" s="4" t="str">
        <f t="shared" ca="1" si="6"/>
        <v>FAMILIAR</v>
      </c>
      <c r="F80" s="4">
        <f t="shared" ca="1" si="7"/>
        <v>8.3333333333333343E-2</v>
      </c>
      <c r="G80" s="4" t="str" cm="1">
        <f t="array" aca="1" ref="G80" ca="1">_xlfn.IFS(D80=$D$6,"Doblada",D80=$D$7,"Doblada Vibrosound",D80=$D$8,"Doblada Proyección Láser",D80=$D$9,"Subtitulada Vibrosound Proyección Láser")</f>
        <v>Doblada</v>
      </c>
      <c r="H80" s="7">
        <f t="shared" ca="1" si="58"/>
        <v>0.4375</v>
      </c>
      <c r="I80" s="7">
        <f t="shared" ref="I80:L80" ca="1" si="61">CEILING(H80+$F80,"0:10")</f>
        <v>0.52083333333333326</v>
      </c>
      <c r="J80" s="7">
        <f t="shared" ca="1" si="61"/>
        <v>0.60416666666666663</v>
      </c>
      <c r="K80" s="7">
        <f t="shared" ca="1" si="61"/>
        <v>0.6875</v>
      </c>
      <c r="L80" s="7">
        <f t="shared" ca="1" si="61"/>
        <v>0.77083333333333326</v>
      </c>
      <c r="M80" s="6">
        <f t="shared" ca="1" si="9"/>
        <v>5</v>
      </c>
      <c r="N80" t="str">
        <f t="shared" ca="1" si="10"/>
        <v>NIÑOS</v>
      </c>
    </row>
    <row r="81" spans="1:14" x14ac:dyDescent="0.3">
      <c r="E81" s="4"/>
      <c r="F81" s="4"/>
      <c r="G81" s="4"/>
      <c r="H81" s="7"/>
      <c r="I81" s="7"/>
      <c r="J81" s="7"/>
      <c r="K81" s="7"/>
      <c r="L81" s="7"/>
      <c r="M81" s="6"/>
    </row>
    <row r="82" spans="1:14" x14ac:dyDescent="0.3">
      <c r="A82" s="3" t="s">
        <v>47</v>
      </c>
      <c r="B82" s="3">
        <v>1</v>
      </c>
      <c r="C82" s="3">
        <v>277</v>
      </c>
      <c r="D82" t="str" cm="1">
        <f t="array" aca="1" ref="D82" ca="1">IF(COUNTIF(Star_Excelsior,_xlfn.MODE.SNGL(Star_Excelsior))=COUNT(Star_Excelsior),INDEX($D$6:$D$9,RANDBETWEEN(1,COUNTA($D$6:$D$9))),_xlfn.IFS(AND(C82&gt;=50,C82&lt;100),$D$6,AND(C82&gt;=100,C82&lt;150),$D$7,AND(C82&gt;=150,C82&lt;200),$D$8,AND(C82&gt;=200,C82&lt;300),$D$9))</f>
        <v>MARTY SUPREMO</v>
      </c>
      <c r="E82" s="4" t="str">
        <f t="shared" ref="E82:E144" ca="1" si="62">+VLOOKUP(D82,$D$6:$E$25,2,FALSE)</f>
        <v>DRAMA</v>
      </c>
      <c r="F82" s="4">
        <f t="shared" ref="F82:F144" ca="1" si="63">+VLOOKUP(D82,$D$5:$G$25,4,FALSE)</f>
        <v>0.11805555555555557</v>
      </c>
      <c r="G82" s="4" t="str" cm="1">
        <f t="array" aca="1" ref="G82" ca="1">_xlfn.IFS(D82=$D$6,"Doblada",D82=$D$7,"Doblada Vibrosound",D82=$D$8,"Doblada Proyección Láser",D82=$D$9,"Subtitulada Vibrosound Proyección Láser")</f>
        <v>Subtitulada Vibrosound Proyección Láser</v>
      </c>
      <c r="H82" s="7">
        <f t="shared" ca="1" si="58"/>
        <v>0.45833333333333331</v>
      </c>
      <c r="I82" s="7">
        <f t="shared" ref="I82:L82" ca="1" si="64">CEILING(H82+$F82,"0:10")</f>
        <v>0.57638888888888884</v>
      </c>
      <c r="J82" s="7">
        <f t="shared" ca="1" si="64"/>
        <v>0.69444444444444442</v>
      </c>
      <c r="K82" s="7">
        <f t="shared" ca="1" si="64"/>
        <v>0.8125</v>
      </c>
      <c r="L82" s="7">
        <f t="shared" ca="1" si="64"/>
        <v>0.93055555555555547</v>
      </c>
      <c r="M82" s="6">
        <f t="shared" ref="M82:M144" ca="1" si="65">+COUNTA(H82:L82)</f>
        <v>5</v>
      </c>
      <c r="N82" t="str">
        <f t="shared" ref="N82:N144" ca="1" si="66">+VLOOKUP(D82,$D$6:$F$25,3,FALSE)</f>
        <v>ADULTOS</v>
      </c>
    </row>
    <row r="83" spans="1:14" x14ac:dyDescent="0.3">
      <c r="A83" s="3" t="s">
        <v>47</v>
      </c>
      <c r="B83" s="3">
        <v>2</v>
      </c>
      <c r="C83" s="3">
        <v>277</v>
      </c>
      <c r="D83" t="str" cm="1">
        <f t="array" aca="1" ref="D83" ca="1">IF(COUNTIF(Star_Excelsior,_xlfn.MODE.SNGL(Star_Excelsior))=COUNT(Star_Excelsior),INDEX($D$6:$D$9,RANDBETWEEN(1,COUNTA($D$6:$D$9))),_xlfn.IFS(AND(C83&gt;=50,C83&lt;100),$D$6,AND(C83&gt;=100,C83&lt;150),$D$7,AND(C83&gt;=150,C83&lt;200),$D$8,AND(C83&gt;=200,C83&lt;300),$D$9))</f>
        <v>MARTY SUPREMO</v>
      </c>
      <c r="E83" s="4" t="str">
        <f t="shared" ca="1" si="62"/>
        <v>DRAMA</v>
      </c>
      <c r="F83" s="4">
        <f t="shared" ca="1" si="63"/>
        <v>0.11805555555555557</v>
      </c>
      <c r="G83" s="4" t="str" cm="1">
        <f t="array" aca="1" ref="G83" ca="1">_xlfn.IFS(D83=$D$6,"Doblada",D83=$D$7,"Doblada Vibrosound",D83=$D$8,"Doblada Proyección Láser",D83=$D$9,"Subtitulada Vibrosound Proyección Láser")</f>
        <v>Subtitulada Vibrosound Proyección Láser</v>
      </c>
      <c r="H83" s="7">
        <f t="shared" ca="1" si="58"/>
        <v>0.45833333333333331</v>
      </c>
      <c r="I83" s="7">
        <f t="shared" ref="I83:L83" ca="1" si="67">CEILING(H83+$F83,"0:10")</f>
        <v>0.57638888888888884</v>
      </c>
      <c r="J83" s="7">
        <f t="shared" ca="1" si="67"/>
        <v>0.69444444444444442</v>
      </c>
      <c r="K83" s="7">
        <f t="shared" ca="1" si="67"/>
        <v>0.8125</v>
      </c>
      <c r="L83" s="7">
        <f t="shared" ca="1" si="67"/>
        <v>0.93055555555555547</v>
      </c>
      <c r="M83" s="6">
        <f t="shared" ca="1" si="65"/>
        <v>5</v>
      </c>
      <c r="N83" t="str">
        <f t="shared" ca="1" si="66"/>
        <v>ADULTOS</v>
      </c>
    </row>
    <row r="84" spans="1:14" x14ac:dyDescent="0.3">
      <c r="A84" s="3" t="s">
        <v>47</v>
      </c>
      <c r="B84" s="3">
        <v>3</v>
      </c>
      <c r="C84" s="3">
        <v>320</v>
      </c>
      <c r="D84" t="str" cm="1">
        <f t="array" aca="1" ref="D84" ca="1">IF(COUNTIF(Star_Excelsior,_xlfn.MODE.SNGL(Star_Excelsior))=COUNT(Star_Excelsior),INDEX($D$6:$D$9,RANDBETWEEN(1,COUNTA($D$6:$D$9))),_xlfn.IFS(AND(C84&gt;=50,C84&lt;100),$D$6,AND(C84&gt;=100,C84&lt;150),$D$7,AND(C84&gt;=150,C84&lt;200),$D$8,AND(C84&gt;=200,C84&lt;350),$D$9))</f>
        <v>MARTY SUPREMO</v>
      </c>
      <c r="E84" s="4" t="str">
        <f t="shared" ca="1" si="62"/>
        <v>DRAMA</v>
      </c>
      <c r="F84" s="4">
        <f t="shared" ca="1" si="63"/>
        <v>0.11805555555555557</v>
      </c>
      <c r="G84" s="4" t="str" cm="1">
        <f t="array" aca="1" ref="G84" ca="1">_xlfn.IFS(D84=$D$6,"Doblada",D84=$D$7,"Doblada Vibrosound",D84=$D$8,"Doblada Proyección Láser",D84=$D$9,"Subtitulada Vibrosound Proyección Láser")</f>
        <v>Subtitulada Vibrosound Proyección Láser</v>
      </c>
      <c r="H84" s="7">
        <f t="shared" ca="1" si="58"/>
        <v>0.45833333333333331</v>
      </c>
      <c r="I84" s="7">
        <f t="shared" ref="I84:L84" ca="1" si="68">CEILING(H84+$F84,"0:10")</f>
        <v>0.57638888888888884</v>
      </c>
      <c r="J84" s="7">
        <f t="shared" ca="1" si="68"/>
        <v>0.69444444444444442</v>
      </c>
      <c r="K84" s="7">
        <f t="shared" ca="1" si="68"/>
        <v>0.8125</v>
      </c>
      <c r="L84" s="7">
        <f t="shared" ca="1" si="68"/>
        <v>0.93055555555555547</v>
      </c>
      <c r="M84" s="6">
        <f t="shared" ca="1" si="65"/>
        <v>5</v>
      </c>
      <c r="N84" t="str">
        <f t="shared" ca="1" si="66"/>
        <v>ADULTOS</v>
      </c>
    </row>
    <row r="85" spans="1:14" x14ac:dyDescent="0.3">
      <c r="A85" s="3" t="s">
        <v>47</v>
      </c>
      <c r="B85" s="3">
        <v>4</v>
      </c>
      <c r="C85" s="3">
        <v>150</v>
      </c>
      <c r="D85" t="str" cm="1">
        <f t="array" aca="1" ref="D85" ca="1">IF(COUNTIF(Star_Excelsior,_xlfn.MODE.SNGL(Star_Excelsior))=COUNT(Star_Excelsior),INDEX($D$6:$D$9,RANDBETWEEN(1,COUNTA($D$6:$D$9))),_xlfn.IFS(AND(C85&gt;=50,C85&lt;100),$D$6,AND(C85&gt;=100,C85&lt;150),$D$7,AND(C85&gt;=150,C85&lt;200),$D$8,AND(C85&gt;=200,C85&lt;300),$D$9))</f>
        <v>STREAMING PARANORMAL</v>
      </c>
      <c r="E85" s="4" t="str">
        <f t="shared" ca="1" si="62"/>
        <v>TERROR</v>
      </c>
      <c r="F85" s="4">
        <f t="shared" ca="1" si="63"/>
        <v>7.7777777777777779E-2</v>
      </c>
      <c r="G85" s="4" t="str" cm="1">
        <f t="array" aca="1" ref="G85" ca="1">_xlfn.IFS(D85=$D$6,"Doblada",D85=$D$7,"Doblada Vibrosound",D85=$D$8,"Doblada Proyección Láser",D85=$D$9,"Subtitulada Vibrosound Proyección Láser")</f>
        <v>Doblada Proyección Láser</v>
      </c>
      <c r="H85" s="7">
        <f t="shared" ca="1" si="58"/>
        <v>0.45833333333333331</v>
      </c>
      <c r="I85" s="7">
        <f t="shared" ref="I85:L85" ca="1" si="69">CEILING(H85+$F85,"0:10")</f>
        <v>0.54166666666666663</v>
      </c>
      <c r="J85" s="7">
        <f t="shared" ca="1" si="69"/>
        <v>0.625</v>
      </c>
      <c r="K85" s="7">
        <f t="shared" ca="1" si="69"/>
        <v>0.70833333333333326</v>
      </c>
      <c r="L85" s="7">
        <f t="shared" ca="1" si="69"/>
        <v>0.79166666666666663</v>
      </c>
      <c r="M85" s="6">
        <f t="shared" ca="1" si="65"/>
        <v>5</v>
      </c>
      <c r="N85" t="str">
        <f t="shared" ca="1" si="66"/>
        <v>JÓVENES / ADULTOS</v>
      </c>
    </row>
    <row r="86" spans="1:14" x14ac:dyDescent="0.3">
      <c r="A86" s="3" t="s">
        <v>47</v>
      </c>
      <c r="B86" s="3">
        <v>5</v>
      </c>
      <c r="C86" s="3">
        <v>150</v>
      </c>
      <c r="D86" t="str" cm="1">
        <f t="array" aca="1" ref="D86" ca="1">IF(COUNTIF(Star_Excelsior,_xlfn.MODE.SNGL(Star_Excelsior))=COUNT(Star_Excelsior),INDEX($D$6:$D$9,RANDBETWEEN(1,COUNTA($D$6:$D$9))),_xlfn.IFS(AND(C86&gt;=50,C86&lt;100),$D$6,AND(C86&gt;=100,C86&lt;150),$D$7,AND(C86&gt;=150,C86&lt;200),$D$8,AND(C86&gt;=200,C86&lt;300),$D$9))</f>
        <v>STREAMING PARANORMAL</v>
      </c>
      <c r="E86" s="4" t="str">
        <f t="shared" ca="1" si="62"/>
        <v>TERROR</v>
      </c>
      <c r="F86" s="4">
        <f t="shared" ca="1" si="63"/>
        <v>7.7777777777777779E-2</v>
      </c>
      <c r="G86" s="4" t="str" cm="1">
        <f t="array" aca="1" ref="G86" ca="1">_xlfn.IFS(D86=$D$6,"Doblada",D86=$D$7,"Doblada Vibrosound",D86=$D$8,"Doblada Proyección Láser",D86=$D$9,"Subtitulada Vibrosound Proyección Láser")</f>
        <v>Doblada Proyección Láser</v>
      </c>
      <c r="H86" s="7">
        <f t="shared" ca="1" si="58"/>
        <v>0.45833333333333331</v>
      </c>
      <c r="I86" s="7">
        <f t="shared" ref="I86:L86" ca="1" si="70">CEILING(H86+$F86,"0:10")</f>
        <v>0.54166666666666663</v>
      </c>
      <c r="J86" s="7">
        <f t="shared" ca="1" si="70"/>
        <v>0.625</v>
      </c>
      <c r="K86" s="7">
        <f t="shared" ca="1" si="70"/>
        <v>0.70833333333333326</v>
      </c>
      <c r="L86" s="7">
        <f t="shared" ca="1" si="70"/>
        <v>0.79166666666666663</v>
      </c>
      <c r="M86" s="6">
        <f t="shared" ca="1" si="65"/>
        <v>5</v>
      </c>
      <c r="N86" t="str">
        <f t="shared" ca="1" si="66"/>
        <v>JÓVENES / ADULTOS</v>
      </c>
    </row>
    <row r="87" spans="1:14" x14ac:dyDescent="0.3">
      <c r="A87" s="3" t="s">
        <v>47</v>
      </c>
      <c r="B87" s="3">
        <v>6</v>
      </c>
      <c r="C87" s="3">
        <v>105</v>
      </c>
      <c r="D87" t="str" cm="1">
        <f t="array" aca="1" ref="D87" ca="1">IF(COUNTIF(Star_Excelsior,_xlfn.MODE.SNGL(Star_Excelsior))=COUNT(Star_Excelsior),INDEX($D$6:$D$9,RANDBETWEEN(1,COUNTA($D$6:$D$9))),_xlfn.IFS(AND(C87&gt;=50,C87&lt;100),$D$6,AND(C87&gt;=100,C87&lt;150),$D$7,AND(C87&gt;=150,C87&lt;200),$D$8,AND(C87&gt;=200,C87&lt;300),$D$9))</f>
        <v>ALERTA EXTINCIÓN</v>
      </c>
      <c r="E87" s="4" t="str">
        <f t="shared" ca="1" si="62"/>
        <v>ACCIÓN / COMEDIA</v>
      </c>
      <c r="F87" s="4">
        <f t="shared" ca="1" si="63"/>
        <v>8.2638888888888901E-2</v>
      </c>
      <c r="G87" s="4" t="str" cm="1">
        <f t="array" aca="1" ref="G87" ca="1">_xlfn.IFS(D87=$D$6,"Doblada",D87=$D$7,"Doblada Vibrosound",D87=$D$8,"Doblada Proyección Láser",D87=$D$9,"Subtitulada Vibrosound Proyección Láser")</f>
        <v>Doblada Vibrosound</v>
      </c>
      <c r="H87" s="7">
        <f t="shared" ca="1" si="58"/>
        <v>0.45833333333333331</v>
      </c>
      <c r="I87" s="7">
        <f t="shared" ref="I87:L87" ca="1" si="71">CEILING(H87+$F87,"0:10")</f>
        <v>0.54166666666666663</v>
      </c>
      <c r="J87" s="7">
        <f t="shared" ca="1" si="71"/>
        <v>0.625</v>
      </c>
      <c r="K87" s="7">
        <f t="shared" ca="1" si="71"/>
        <v>0.70833333333333326</v>
      </c>
      <c r="L87" s="7">
        <f t="shared" ca="1" si="71"/>
        <v>0.79166666666666663</v>
      </c>
      <c r="M87" s="6">
        <f t="shared" ca="1" si="65"/>
        <v>5</v>
      </c>
      <c r="N87" t="str">
        <f t="shared" ca="1" si="66"/>
        <v>JÓVENES / ADULTOS</v>
      </c>
    </row>
    <row r="88" spans="1:14" x14ac:dyDescent="0.3">
      <c r="E88" s="4"/>
      <c r="F88" s="4"/>
      <c r="G88" s="4"/>
      <c r="H88" s="7">
        <f t="shared" si="58"/>
        <v>0.45833333333333331</v>
      </c>
      <c r="I88" s="7"/>
      <c r="J88" s="7"/>
      <c r="K88" s="7"/>
      <c r="L88" s="7"/>
      <c r="M88" s="6"/>
    </row>
    <row r="89" spans="1:14" x14ac:dyDescent="0.3">
      <c r="A89" s="3" t="s">
        <v>48</v>
      </c>
      <c r="B89" s="3">
        <v>1</v>
      </c>
      <c r="C89" s="3">
        <v>266</v>
      </c>
      <c r="D89" t="str" cm="1">
        <f t="array" aca="1" ref="D89" ca="1">IF(COUNTIF(Breña,_xlfn.MODE.MULT(Breña))=COUNT(Breña),INDEX($D$6:$D$9,RANDBETWEEN(1,COUNTA($D$6:$D$9))),_xlfn.IFS(AND(C89&gt;=50,C89&lt;100),$D$6,AND(C89&gt;=100,C89&lt;150),$D$7,AND(C89&gt;=150,C89&lt;200),$D$8,AND(C89&gt;=200,C89&lt;300),$D$9))</f>
        <v>MARTY SUPREMO</v>
      </c>
      <c r="E89" s="4" t="str">
        <f t="shared" ca="1" si="62"/>
        <v>DRAMA</v>
      </c>
      <c r="F89" s="4">
        <f t="shared" ca="1" si="63"/>
        <v>0.11805555555555557</v>
      </c>
      <c r="G89" s="4" t="str" cm="1">
        <f t="array" aca="1" ref="G89" ca="1">_xlfn.IFS(D89=$D$6,"Doblada",D89=$D$7,"Doblada Vibrosound",D89=$D$8,"Doblada Proyección Láser",D89=$D$9,"Subtitulada Vibrosound Proyección Láser")</f>
        <v>Subtitulada Vibrosound Proyección Láser</v>
      </c>
      <c r="H89" s="7">
        <f t="shared" ca="1" si="58"/>
        <v>0.45833333333333331</v>
      </c>
      <c r="I89" s="7">
        <f t="shared" ref="I89:L89" ca="1" si="72">CEILING(H89+$F89,"0:10")</f>
        <v>0.57638888888888884</v>
      </c>
      <c r="J89" s="7">
        <f t="shared" ca="1" si="72"/>
        <v>0.69444444444444442</v>
      </c>
      <c r="K89" s="7">
        <f t="shared" ca="1" si="72"/>
        <v>0.8125</v>
      </c>
      <c r="L89" s="7">
        <f t="shared" ca="1" si="72"/>
        <v>0.93055555555555547</v>
      </c>
      <c r="M89" s="6">
        <f t="shared" ca="1" si="65"/>
        <v>5</v>
      </c>
      <c r="N89" t="str">
        <f t="shared" ca="1" si="66"/>
        <v>ADULTOS</v>
      </c>
    </row>
    <row r="90" spans="1:14" x14ac:dyDescent="0.3">
      <c r="A90" s="3" t="s">
        <v>48</v>
      </c>
      <c r="B90" s="3">
        <v>2</v>
      </c>
      <c r="C90" s="3">
        <v>168</v>
      </c>
      <c r="D90" t="str" cm="1">
        <f t="array" aca="1" ref="D90" ca="1">IF(COUNTIF(Breña,_xlfn.MODE.MULT(Breña))=COUNT(Breña),INDEX($D$6:$D$9,RANDBETWEEN(1,COUNTA($D$6:$D$9))),_xlfn.IFS(AND(C90&gt;=50,C90&lt;100),$D$6,AND(C90&gt;=100,C90&lt;150),$D$7,AND(C90&gt;=150,C90&lt;200),$D$8,AND(C90&gt;=200,C90&lt;300),$D$9))</f>
        <v>STREAMING PARANORMAL</v>
      </c>
      <c r="E90" s="4" t="str">
        <f t="shared" ca="1" si="62"/>
        <v>TERROR</v>
      </c>
      <c r="F90" s="4">
        <f t="shared" ca="1" si="63"/>
        <v>7.7777777777777779E-2</v>
      </c>
      <c r="G90" s="4" t="str" cm="1">
        <f t="array" aca="1" ref="G90" ca="1">_xlfn.IFS(D90=$D$6,"Doblada",D90=$D$7,"Doblada Vibrosound",D90=$D$8,"Doblada Proyección Láser",D90=$D$9,"Subtitulada Vibrosound Proyección Láser")</f>
        <v>Doblada Proyección Láser</v>
      </c>
      <c r="H90" s="7">
        <f t="shared" ca="1" si="58"/>
        <v>0.45833333333333331</v>
      </c>
      <c r="I90" s="7">
        <f t="shared" ref="I90:L90" ca="1" si="73">CEILING(H90+$F90,"0:10")</f>
        <v>0.54166666666666663</v>
      </c>
      <c r="J90" s="7">
        <f t="shared" ca="1" si="73"/>
        <v>0.625</v>
      </c>
      <c r="K90" s="7">
        <f t="shared" ca="1" si="73"/>
        <v>0.70833333333333326</v>
      </c>
      <c r="L90" s="7">
        <f t="shared" ca="1" si="73"/>
        <v>0.79166666666666663</v>
      </c>
      <c r="M90" s="6">
        <f t="shared" ca="1" si="65"/>
        <v>5</v>
      </c>
      <c r="N90" t="str">
        <f t="shared" ca="1" si="66"/>
        <v>JÓVENES / ADULTOS</v>
      </c>
    </row>
    <row r="91" spans="1:14" x14ac:dyDescent="0.3">
      <c r="A91" s="3" t="s">
        <v>48</v>
      </c>
      <c r="B91" s="3">
        <v>3</v>
      </c>
      <c r="C91" s="3">
        <v>168</v>
      </c>
      <c r="D91" t="str" cm="1">
        <f t="array" aca="1" ref="D91" ca="1">IF(COUNTIF(Breña,_xlfn.MODE.MULT(Breña))=COUNT(Breña),INDEX($D$6:$D$9,RANDBETWEEN(1,COUNTA($D$6:$D$9))),_xlfn.IFS(AND(C91&gt;=50,C91&lt;100),$D$6,AND(C91&gt;=100,C91&lt;150),$D$7,AND(C91&gt;=150,C91&lt;200),$D$8,AND(C91&gt;=200,C91&lt;300),$D$9))</f>
        <v>STREAMING PARANORMAL</v>
      </c>
      <c r="E91" s="4" t="str">
        <f t="shared" ca="1" si="62"/>
        <v>TERROR</v>
      </c>
      <c r="F91" s="4">
        <f t="shared" ca="1" si="63"/>
        <v>7.7777777777777779E-2</v>
      </c>
      <c r="G91" s="4" t="str" cm="1">
        <f t="array" aca="1" ref="G91" ca="1">_xlfn.IFS(D91=$D$6,"Doblada",D91=$D$7,"Doblada Vibrosound",D91=$D$8,"Doblada Proyección Láser",D91=$D$9,"Subtitulada Vibrosound Proyección Láser")</f>
        <v>Doblada Proyección Láser</v>
      </c>
      <c r="H91" s="7">
        <f t="shared" ca="1" si="58"/>
        <v>0.45833333333333331</v>
      </c>
      <c r="I91" s="7">
        <f t="shared" ref="I91:L91" ca="1" si="74">CEILING(H91+$F91,"0:10")</f>
        <v>0.54166666666666663</v>
      </c>
      <c r="J91" s="7">
        <f t="shared" ca="1" si="74"/>
        <v>0.625</v>
      </c>
      <c r="K91" s="7">
        <f t="shared" ca="1" si="74"/>
        <v>0.70833333333333326</v>
      </c>
      <c r="L91" s="7">
        <f t="shared" ca="1" si="74"/>
        <v>0.79166666666666663</v>
      </c>
      <c r="M91" s="6">
        <f t="shared" ca="1" si="65"/>
        <v>5</v>
      </c>
      <c r="N91" t="str">
        <f t="shared" ca="1" si="66"/>
        <v>JÓVENES / ADULTOS</v>
      </c>
    </row>
    <row r="92" spans="1:14" x14ac:dyDescent="0.3">
      <c r="A92" s="3" t="s">
        <v>48</v>
      </c>
      <c r="B92" s="3">
        <v>4</v>
      </c>
      <c r="C92" s="3">
        <v>168</v>
      </c>
      <c r="D92" t="str" cm="1">
        <f t="array" aca="1" ref="D92" ca="1">IF(COUNTIF(Breña,_xlfn.MODE.MULT(Breña))=COUNT(Breña),INDEX($D$6:$D$9,RANDBETWEEN(1,COUNTA($D$6:$D$9))),_xlfn.IFS(AND(C92&gt;=50,C92&lt;100),$D$6,AND(C92&gt;=100,C92&lt;150),$D$7,AND(C92&gt;=150,C92&lt;200),$D$8,AND(C92&gt;=200,C92&lt;300),$D$9))</f>
        <v>STREAMING PARANORMAL</v>
      </c>
      <c r="E92" s="4" t="str">
        <f t="shared" ca="1" si="62"/>
        <v>TERROR</v>
      </c>
      <c r="F92" s="4">
        <f t="shared" ca="1" si="63"/>
        <v>7.7777777777777779E-2</v>
      </c>
      <c r="G92" s="4" t="str" cm="1">
        <f t="array" aca="1" ref="G92" ca="1">_xlfn.IFS(D92=$D$6,"Doblada",D92=$D$7,"Doblada Vibrosound",D92=$D$8,"Doblada Proyección Láser",D92=$D$9,"Subtitulada Vibrosound Proyección Láser")</f>
        <v>Doblada Proyección Láser</v>
      </c>
      <c r="H92" s="7">
        <f t="shared" ca="1" si="58"/>
        <v>0.45833333333333331</v>
      </c>
      <c r="I92" s="7">
        <f t="shared" ref="I92:L92" ca="1" si="75">CEILING(H92+$F92,"0:10")</f>
        <v>0.54166666666666663</v>
      </c>
      <c r="J92" s="7">
        <f t="shared" ca="1" si="75"/>
        <v>0.625</v>
      </c>
      <c r="K92" s="7">
        <f t="shared" ca="1" si="75"/>
        <v>0.70833333333333326</v>
      </c>
      <c r="L92" s="7">
        <f t="shared" ca="1" si="75"/>
        <v>0.79166666666666663</v>
      </c>
      <c r="M92" s="6">
        <f t="shared" ca="1" si="65"/>
        <v>5</v>
      </c>
      <c r="N92" t="str">
        <f t="shared" ca="1" si="66"/>
        <v>JÓVENES / ADULTOS</v>
      </c>
    </row>
    <row r="93" spans="1:14" x14ac:dyDescent="0.3">
      <c r="A93" s="3" t="s">
        <v>48</v>
      </c>
      <c r="B93" s="3">
        <v>5</v>
      </c>
      <c r="C93" s="3">
        <v>168</v>
      </c>
      <c r="D93" t="str" cm="1">
        <f t="array" aca="1" ref="D93" ca="1">IF(COUNTIF(Breña,_xlfn.MODE.MULT(Breña))=COUNT(Breña),INDEX($D$6:$D$9,RANDBETWEEN(1,COUNTA($D$6:$D$9))),_xlfn.IFS(AND(C93&gt;=50,C93&lt;100),$D$6,AND(C93&gt;=100,C93&lt;150),$D$7,AND(C93&gt;=150,C93&lt;200),$D$8,AND(C93&gt;=200,C93&lt;300),$D$9))</f>
        <v>STREAMING PARANORMAL</v>
      </c>
      <c r="E93" s="4" t="str">
        <f t="shared" ca="1" si="62"/>
        <v>TERROR</v>
      </c>
      <c r="F93" s="4">
        <f t="shared" ca="1" si="63"/>
        <v>7.7777777777777779E-2</v>
      </c>
      <c r="G93" s="4" t="str" cm="1">
        <f t="array" aca="1" ref="G93" ca="1">_xlfn.IFS(D93=$D$6,"Doblada",D93=$D$7,"Doblada Vibrosound",D93=$D$8,"Doblada Proyección Láser",D93=$D$9,"Subtitulada Vibrosound Proyección Láser")</f>
        <v>Doblada Proyección Láser</v>
      </c>
      <c r="H93" s="7">
        <f t="shared" ca="1" si="58"/>
        <v>0.45833333333333331</v>
      </c>
      <c r="I93" s="7">
        <f t="shared" ref="I93:L93" ca="1" si="76">CEILING(H93+$F93,"0:10")</f>
        <v>0.54166666666666663</v>
      </c>
      <c r="J93" s="7">
        <f t="shared" ca="1" si="76"/>
        <v>0.625</v>
      </c>
      <c r="K93" s="7">
        <f t="shared" ca="1" si="76"/>
        <v>0.70833333333333326</v>
      </c>
      <c r="L93" s="7">
        <f t="shared" ca="1" si="76"/>
        <v>0.79166666666666663</v>
      </c>
      <c r="M93" s="6">
        <f t="shared" ca="1" si="65"/>
        <v>5</v>
      </c>
      <c r="N93" t="str">
        <f t="shared" ca="1" si="66"/>
        <v>JÓVENES / ADULTOS</v>
      </c>
    </row>
    <row r="94" spans="1:14" x14ac:dyDescent="0.3">
      <c r="A94" s="3" t="s">
        <v>48</v>
      </c>
      <c r="B94" s="3">
        <v>6</v>
      </c>
      <c r="C94" s="3">
        <v>180</v>
      </c>
      <c r="D94" t="str" cm="1">
        <f t="array" aca="1" ref="D94" ca="1">IF(COUNTIF(Breña,_xlfn.MODE.MULT(Breña))=COUNT(Breña),INDEX($D$6:$D$9,RANDBETWEEN(1,COUNTA($D$6:$D$9))),_xlfn.IFS(AND(C94&gt;=50,C94&lt;100),$D$6,AND(C94&gt;=100,C94&lt;150),$D$7,AND(C94&gt;=150,C94&lt;200),$D$8,AND(C94&gt;=200,C94&lt;300),$D$9))</f>
        <v>STREAMING PARANORMAL</v>
      </c>
      <c r="E94" s="4" t="str">
        <f t="shared" ca="1" si="62"/>
        <v>TERROR</v>
      </c>
      <c r="F94" s="4">
        <f t="shared" ca="1" si="63"/>
        <v>7.7777777777777779E-2</v>
      </c>
      <c r="G94" s="4" t="str" cm="1">
        <f t="array" aca="1" ref="G94" ca="1">_xlfn.IFS(D94=$D$6,"Doblada",D94=$D$7,"Doblada Vibrosound",D94=$D$8,"Doblada Proyección Láser",D94=$D$9,"Subtitulada Vibrosound Proyección Láser")</f>
        <v>Doblada Proyección Láser</v>
      </c>
      <c r="H94" s="7">
        <f t="shared" ca="1" si="58"/>
        <v>0.45833333333333331</v>
      </c>
      <c r="I94" s="7">
        <f t="shared" ref="I94:L94" ca="1" si="77">CEILING(H94+$F94,"0:10")</f>
        <v>0.54166666666666663</v>
      </c>
      <c r="J94" s="7">
        <f t="shared" ca="1" si="77"/>
        <v>0.625</v>
      </c>
      <c r="K94" s="7">
        <f t="shared" ca="1" si="77"/>
        <v>0.70833333333333326</v>
      </c>
      <c r="L94" s="7">
        <f t="shared" ca="1" si="77"/>
        <v>0.79166666666666663</v>
      </c>
      <c r="M94" s="6">
        <f t="shared" ca="1" si="65"/>
        <v>5</v>
      </c>
      <c r="N94" t="str">
        <f t="shared" ca="1" si="66"/>
        <v>JÓVENES / ADULTOS</v>
      </c>
    </row>
    <row r="95" spans="1:14" x14ac:dyDescent="0.3">
      <c r="A95" s="3" t="s">
        <v>48</v>
      </c>
      <c r="B95" s="3">
        <v>7</v>
      </c>
      <c r="C95" s="3">
        <v>189</v>
      </c>
      <c r="D95" t="str" cm="1">
        <f t="array" aca="1" ref="D95" ca="1">IF(COUNTIF(Breña,_xlfn.MODE.MULT(Breña))=COUNT(Breña),INDEX($D$6:$D$9,RANDBETWEEN(1,COUNTA($D$6:$D$9))),_xlfn.IFS(AND(C95&gt;=50,C95&lt;100),$D$6,AND(C95&gt;=100,C95&lt;150),$D$7,AND(C95&gt;=150,C95&lt;200),$D$8,AND(C95&gt;=200,C95&lt;300),$D$9))</f>
        <v>STREAMING PARANORMAL</v>
      </c>
      <c r="E95" s="4" t="str">
        <f t="shared" ca="1" si="62"/>
        <v>TERROR</v>
      </c>
      <c r="F95" s="4">
        <f t="shared" ca="1" si="63"/>
        <v>7.7777777777777779E-2</v>
      </c>
      <c r="G95" s="4" t="str" cm="1">
        <f t="array" aca="1" ref="G95" ca="1">_xlfn.IFS(D95=$D$6,"Doblada",D95=$D$7,"Doblada Vibrosound",D95=$D$8,"Doblada Proyección Láser",D95=$D$9,"Subtitulada Vibrosound Proyección Láser")</f>
        <v>Doblada Proyección Láser</v>
      </c>
      <c r="H95" s="7">
        <f t="shared" ca="1" si="58"/>
        <v>0.45833333333333331</v>
      </c>
      <c r="I95" s="7">
        <f t="shared" ref="I95:L95" ca="1" si="78">CEILING(H95+$F95,"0:10")</f>
        <v>0.54166666666666663</v>
      </c>
      <c r="J95" s="7">
        <f t="shared" ca="1" si="78"/>
        <v>0.625</v>
      </c>
      <c r="K95" s="7">
        <f t="shared" ca="1" si="78"/>
        <v>0.70833333333333326</v>
      </c>
      <c r="L95" s="7">
        <f t="shared" ca="1" si="78"/>
        <v>0.79166666666666663</v>
      </c>
      <c r="M95" s="6">
        <f t="shared" ca="1" si="65"/>
        <v>5</v>
      </c>
      <c r="N95" t="str">
        <f t="shared" ca="1" si="66"/>
        <v>JÓVENES / ADULTOS</v>
      </c>
    </row>
    <row r="96" spans="1:14" x14ac:dyDescent="0.3">
      <c r="E96" s="4"/>
      <c r="F96" s="4"/>
      <c r="G96" s="4"/>
      <c r="H96" s="7"/>
      <c r="I96" s="7"/>
      <c r="J96" s="7"/>
      <c r="K96" s="7"/>
      <c r="L96" s="7"/>
      <c r="M96" s="6"/>
    </row>
    <row r="97" spans="1:14" x14ac:dyDescent="0.3">
      <c r="A97" s="3" t="s">
        <v>49</v>
      </c>
      <c r="B97" s="3">
        <v>1</v>
      </c>
      <c r="C97" s="3">
        <v>170</v>
      </c>
      <c r="D97" t="str" cm="1">
        <f t="array" aca="1" ref="D97" ca="1">IF(COUNTIF(Comas,_xlfn.MODE.MULT(Comas))=COUNT(Comas),INDEX($D$6:$D$9,RANDBETWEEN(1,COUNTA($D$6:$D$9))),_xlfn.IFS(AND(C97&gt;=50,C97&lt;100),$D$6,AND(C97&gt;=100,C97&lt;150),$D$7,AND(C97&gt;=150,C97&lt;200),$D$8,AND(C97&gt;=200,C97&lt;300),$D$9))</f>
        <v>MOON MI AMIGO EL PANDA</v>
      </c>
      <c r="E97" s="4" t="str">
        <f ca="1">+VLOOKUP(D97,$D$6:$E$25,2,FALSE)</f>
        <v>FAMILIAR</v>
      </c>
      <c r="F97" s="4">
        <f t="shared" ca="1" si="63"/>
        <v>8.3333333333333343E-2</v>
      </c>
      <c r="G97" s="4" t="str" cm="1">
        <f t="array" aca="1" ref="G97" ca="1">_xlfn.IFS(D97=$D$6,"Doblada",D97=$D$7,"Doblada Vibrosound",D97=$D$8,"Doblada Proyección Láser",D97=$D$9,"Subtitulada Vibrosound Proyección Láser")</f>
        <v>Doblada</v>
      </c>
      <c r="H97" s="7">
        <f t="shared" ca="1" si="58"/>
        <v>0.4375</v>
      </c>
      <c r="I97" s="7">
        <f t="shared" ref="I97:L97" ca="1" si="79">CEILING(H97+$F97,"0:10")</f>
        <v>0.52083333333333326</v>
      </c>
      <c r="J97" s="7">
        <f t="shared" ca="1" si="79"/>
        <v>0.60416666666666663</v>
      </c>
      <c r="K97" s="7">
        <f t="shared" ca="1" si="79"/>
        <v>0.6875</v>
      </c>
      <c r="L97" s="7">
        <f t="shared" ca="1" si="79"/>
        <v>0.77083333333333326</v>
      </c>
      <c r="M97" s="6">
        <f t="shared" ca="1" si="65"/>
        <v>5</v>
      </c>
      <c r="N97" t="str">
        <f t="shared" ca="1" si="66"/>
        <v>NIÑOS</v>
      </c>
    </row>
    <row r="98" spans="1:14" x14ac:dyDescent="0.3">
      <c r="A98" s="3" t="s">
        <v>49</v>
      </c>
      <c r="B98" s="3">
        <v>2</v>
      </c>
      <c r="C98" s="3">
        <v>170</v>
      </c>
      <c r="D98" t="str" cm="1">
        <f t="array" aca="1" ref="D98" ca="1">IF(COUNTIF(Comas,_xlfn.MODE.MULT(Comas))=COUNT(Comas),INDEX($D$6:$D$9,RANDBETWEEN(1,COUNTA($D$6:$D$9))),_xlfn.IFS(AND(C98&gt;=50,C98&lt;100),$D$6,AND(C98&gt;=100,C98&lt;150),$D$7,AND(C98&gt;=150,C98&lt;200),$D$8,AND(C98&gt;=200,C98&lt;300),$D$9))</f>
        <v>MARTY SUPREMO</v>
      </c>
      <c r="E98" s="4" t="str">
        <f t="shared" ca="1" si="62"/>
        <v>DRAMA</v>
      </c>
      <c r="F98" s="4">
        <f t="shared" ca="1" si="63"/>
        <v>0.11805555555555557</v>
      </c>
      <c r="G98" s="4" t="str" cm="1">
        <f t="array" aca="1" ref="G98" ca="1">_xlfn.IFS(D98=$D$6,"Doblada",D98=$D$7,"Doblada Vibrosound",D98=$D$8,"Doblada Proyección Láser",D98=$D$9,"Subtitulada Vibrosound Proyección Láser")</f>
        <v>Subtitulada Vibrosound Proyección Láser</v>
      </c>
      <c r="H98" s="7">
        <f t="shared" ca="1" si="58"/>
        <v>0.45833333333333331</v>
      </c>
      <c r="I98" s="7">
        <f t="shared" ref="I98:L98" ca="1" si="80">CEILING(H98+$F98,"0:10")</f>
        <v>0.57638888888888884</v>
      </c>
      <c r="J98" s="7">
        <f t="shared" ca="1" si="80"/>
        <v>0.69444444444444442</v>
      </c>
      <c r="K98" s="7">
        <f t="shared" ca="1" si="80"/>
        <v>0.8125</v>
      </c>
      <c r="L98" s="7">
        <f t="shared" ca="1" si="80"/>
        <v>0.93055555555555547</v>
      </c>
      <c r="M98" s="6">
        <f t="shared" ca="1" si="65"/>
        <v>5</v>
      </c>
      <c r="N98" t="str">
        <f t="shared" ca="1" si="66"/>
        <v>ADULTOS</v>
      </c>
    </row>
    <row r="99" spans="1:14" x14ac:dyDescent="0.3">
      <c r="A99" s="3" t="s">
        <v>49</v>
      </c>
      <c r="B99" s="3">
        <v>3</v>
      </c>
      <c r="C99" s="3">
        <v>170</v>
      </c>
      <c r="D99" t="str" cm="1">
        <f t="array" aca="1" ref="D99" ca="1">IF(COUNTIF(Comas,_xlfn.MODE.MULT(Comas))=COUNT(Comas),INDEX($D$6:$D$9,RANDBETWEEN(1,COUNTA($D$6:$D$9))),_xlfn.IFS(AND(C99&gt;=50,C99&lt;100),$D$6,AND(C99&gt;=100,C99&lt;150),$D$7,AND(C99&gt;=150,C99&lt;200),$D$8,AND(C99&gt;=200,C99&lt;300),$D$9))</f>
        <v>STREAMING PARANORMAL</v>
      </c>
      <c r="E99" s="4" t="str">
        <f t="shared" ca="1" si="62"/>
        <v>TERROR</v>
      </c>
      <c r="F99" s="4">
        <f t="shared" ca="1" si="63"/>
        <v>7.7777777777777779E-2</v>
      </c>
      <c r="G99" s="4" t="str" cm="1">
        <f t="array" aca="1" ref="G99" ca="1">_xlfn.IFS(D99=$D$6,"Doblada",D99=$D$7,"Doblada Vibrosound",D99=$D$8,"Doblada Proyección Láser",D99=$D$9,"Subtitulada Vibrosound Proyección Láser")</f>
        <v>Doblada Proyección Láser</v>
      </c>
      <c r="H99" s="7">
        <f t="shared" ca="1" si="58"/>
        <v>0.45833333333333331</v>
      </c>
      <c r="I99" s="7">
        <f t="shared" ref="I99:L99" ca="1" si="81">CEILING(H99+$F99,"0:10")</f>
        <v>0.54166666666666663</v>
      </c>
      <c r="J99" s="7">
        <f t="shared" ca="1" si="81"/>
        <v>0.625</v>
      </c>
      <c r="K99" s="7">
        <f t="shared" ca="1" si="81"/>
        <v>0.70833333333333326</v>
      </c>
      <c r="L99" s="7">
        <f t="shared" ca="1" si="81"/>
        <v>0.79166666666666663</v>
      </c>
      <c r="M99" s="6">
        <f t="shared" ca="1" si="65"/>
        <v>5</v>
      </c>
      <c r="N99" t="str">
        <f t="shared" ca="1" si="66"/>
        <v>JÓVENES / ADULTOS</v>
      </c>
    </row>
    <row r="100" spans="1:14" x14ac:dyDescent="0.3">
      <c r="A100" s="3" t="s">
        <v>49</v>
      </c>
      <c r="B100" s="3">
        <v>4</v>
      </c>
      <c r="C100" s="3">
        <v>170</v>
      </c>
      <c r="D100" t="str" cm="1">
        <f t="array" aca="1" ref="D100" ca="1">IF(COUNTIF(Comas,_xlfn.MODE.MULT(Comas))=COUNT(Comas),INDEX($D$6:$D$9,RANDBETWEEN(1,COUNTA($D$6:$D$9))),_xlfn.IFS(AND(C100&gt;=50,C100&lt;100),$D$6,AND(C100&gt;=100,C100&lt;150),$D$7,AND(C100&gt;=150,C100&lt;200),$D$8,AND(C100&gt;=200,C100&lt;300),$D$9))</f>
        <v>MOON MI AMIGO EL PANDA</v>
      </c>
      <c r="E100" s="4" t="str">
        <f t="shared" ca="1" si="62"/>
        <v>FAMILIAR</v>
      </c>
      <c r="F100" s="4">
        <f t="shared" ca="1" si="63"/>
        <v>8.3333333333333343E-2</v>
      </c>
      <c r="G100" s="4" t="str" cm="1">
        <f t="array" aca="1" ref="G100" ca="1">_xlfn.IFS(D100=$D$6,"Doblada",D100=$D$7,"Doblada Vibrosound",D100=$D$8,"Doblada Proyección Láser",D100=$D$9,"Subtitulada Vibrosound Proyección Láser")</f>
        <v>Doblada</v>
      </c>
      <c r="H100" s="7">
        <f t="shared" ca="1" si="58"/>
        <v>0.4375</v>
      </c>
      <c r="I100" s="7">
        <f t="shared" ref="I100:L100" ca="1" si="82">CEILING(H100+$F100,"0:10")</f>
        <v>0.52083333333333326</v>
      </c>
      <c r="J100" s="7">
        <f t="shared" ca="1" si="82"/>
        <v>0.60416666666666663</v>
      </c>
      <c r="K100" s="7">
        <f t="shared" ca="1" si="82"/>
        <v>0.6875</v>
      </c>
      <c r="L100" s="7">
        <f t="shared" ca="1" si="82"/>
        <v>0.77083333333333326</v>
      </c>
      <c r="M100" s="6">
        <f t="shared" ca="1" si="65"/>
        <v>5</v>
      </c>
      <c r="N100" t="str">
        <f t="shared" ca="1" si="66"/>
        <v>NIÑOS</v>
      </c>
    </row>
    <row r="101" spans="1:14" x14ac:dyDescent="0.3">
      <c r="E101" s="4"/>
      <c r="F101" s="4"/>
      <c r="G101" s="4"/>
      <c r="H101" s="7"/>
      <c r="I101" s="7"/>
      <c r="J101" s="7"/>
      <c r="K101" s="7"/>
      <c r="L101" s="7"/>
      <c r="M101" s="6"/>
    </row>
    <row r="102" spans="1:14" x14ac:dyDescent="0.3">
      <c r="A102" s="3" t="s">
        <v>50</v>
      </c>
      <c r="B102" s="3">
        <v>1</v>
      </c>
      <c r="C102" s="3">
        <v>260</v>
      </c>
      <c r="D102" t="str" cm="1">
        <f t="array" aca="1" ref="D102" ca="1">IF(COUNTIF(Star_Chorrillos,_xlfn.MODE.MULT(Star_Chorrillos))=COUNT(Star_Chorrillos),INDEX($D$6:$D$9,RANDBETWEEN(1,COUNTA($D$6:$D$9))),_xlfn.IFS(AND(C102&gt;=50,C102&lt;100),$D$6,AND(C102&gt;=100,C102&lt;150),$D$7,AND(C102&gt;=150,C102&lt;200),$D$8,AND(C102&gt;=200,C102&lt;300),$D$9))</f>
        <v>MARTY SUPREMO</v>
      </c>
      <c r="E102" s="4" t="str">
        <f t="shared" ca="1" si="62"/>
        <v>DRAMA</v>
      </c>
      <c r="F102" s="4">
        <f t="shared" ca="1" si="63"/>
        <v>0.11805555555555557</v>
      </c>
      <c r="G102" s="4" t="str" cm="1">
        <f t="array" aca="1" ref="G102" ca="1">_xlfn.IFS(D102=$D$6,"Doblada",D102=$D$7,"Doblada Vibrosound",D102=$D$8,"Doblada Proyección Láser",D102=$D$9,"Subtitulada Vibrosound Proyección Láser")</f>
        <v>Subtitulada Vibrosound Proyección Láser</v>
      </c>
      <c r="H102" s="7">
        <f t="shared" ca="1" si="58"/>
        <v>0.45833333333333331</v>
      </c>
      <c r="I102" s="7">
        <f t="shared" ref="I102:L102" ca="1" si="83">CEILING(H102+$F102,"0:10")</f>
        <v>0.57638888888888884</v>
      </c>
      <c r="J102" s="7">
        <f t="shared" ca="1" si="83"/>
        <v>0.69444444444444442</v>
      </c>
      <c r="K102" s="7">
        <f t="shared" ca="1" si="83"/>
        <v>0.8125</v>
      </c>
      <c r="L102" s="7">
        <f t="shared" ca="1" si="83"/>
        <v>0.93055555555555547</v>
      </c>
      <c r="M102" s="6">
        <f t="shared" ca="1" si="65"/>
        <v>5</v>
      </c>
      <c r="N102" t="str">
        <f t="shared" ca="1" si="66"/>
        <v>ADULTOS</v>
      </c>
    </row>
    <row r="103" spans="1:14" x14ac:dyDescent="0.3">
      <c r="A103" s="3" t="s">
        <v>50</v>
      </c>
      <c r="B103" s="3">
        <v>2</v>
      </c>
      <c r="C103" s="3">
        <v>114</v>
      </c>
      <c r="D103" t="str" cm="1">
        <f t="array" aca="1" ref="D103" ca="1">IF(COUNTIF(Star_Chorrillos,_xlfn.MODE.MULT(Star_Chorrillos))=COUNT(Star_Chorrillos),INDEX($D$6:$D$9,RANDBETWEEN(1,COUNTA($D$6:$D$9))),_xlfn.IFS(AND(C103&gt;=50,C103&lt;100),$D$6,AND(C103&gt;=100,C103&lt;150),$D$7,AND(C103&gt;=150,C103&lt;200),$D$8,AND(C103&gt;=200,C103&lt;300),$D$9))</f>
        <v>ALERTA EXTINCIÓN</v>
      </c>
      <c r="E103" s="4" t="str">
        <f t="shared" ca="1" si="62"/>
        <v>ACCIÓN / COMEDIA</v>
      </c>
      <c r="F103" s="4">
        <f t="shared" ca="1" si="63"/>
        <v>8.2638888888888901E-2</v>
      </c>
      <c r="G103" s="4" t="str" cm="1">
        <f t="array" aca="1" ref="G103" ca="1">_xlfn.IFS(D103=$D$6,"Doblada",D103=$D$7,"Doblada Vibrosound",D103=$D$8,"Doblada Proyección Láser",D103=$D$9,"Subtitulada Vibrosound Proyección Láser")</f>
        <v>Doblada Vibrosound</v>
      </c>
      <c r="H103" s="7">
        <f t="shared" ca="1" si="58"/>
        <v>0.45833333333333331</v>
      </c>
      <c r="I103" s="7">
        <f t="shared" ref="I103:L103" ca="1" si="84">CEILING(H103+$F103,"0:10")</f>
        <v>0.54166666666666663</v>
      </c>
      <c r="J103" s="7">
        <f t="shared" ca="1" si="84"/>
        <v>0.625</v>
      </c>
      <c r="K103" s="7">
        <f t="shared" ca="1" si="84"/>
        <v>0.70833333333333326</v>
      </c>
      <c r="L103" s="7">
        <f t="shared" ca="1" si="84"/>
        <v>0.79166666666666663</v>
      </c>
      <c r="M103" s="6">
        <f t="shared" ca="1" si="65"/>
        <v>5</v>
      </c>
      <c r="N103" t="str">
        <f t="shared" ca="1" si="66"/>
        <v>JÓVENES / ADULTOS</v>
      </c>
    </row>
    <row r="104" spans="1:14" x14ac:dyDescent="0.3">
      <c r="A104" s="3" t="s">
        <v>50</v>
      </c>
      <c r="B104" s="3">
        <v>3</v>
      </c>
      <c r="C104" s="3">
        <v>132</v>
      </c>
      <c r="D104" t="str" cm="1">
        <f t="array" aca="1" ref="D104" ca="1">IF(COUNTIF(Star_Chorrillos,_xlfn.MODE.MULT(Star_Chorrillos))=COUNT(Star_Chorrillos),INDEX($D$6:$D$9,RANDBETWEEN(1,COUNTA($D$6:$D$9))),_xlfn.IFS(AND(C104&gt;=50,C104&lt;100),$D$6,AND(C104&gt;=100,C104&lt;150),$D$7,AND(C104&gt;=150,C104&lt;200),$D$8,AND(C104&gt;=200,C104&lt;300),$D$9))</f>
        <v>ALERTA EXTINCIÓN</v>
      </c>
      <c r="E104" s="4" t="str">
        <f t="shared" ca="1" si="62"/>
        <v>ACCIÓN / COMEDIA</v>
      </c>
      <c r="F104" s="4">
        <f t="shared" ca="1" si="63"/>
        <v>8.2638888888888901E-2</v>
      </c>
      <c r="G104" s="4" t="str" cm="1">
        <f t="array" aca="1" ref="G104" ca="1">_xlfn.IFS(D104=$D$6,"Doblada",D104=$D$7,"Doblada Vibrosound",D104=$D$8,"Doblada Proyección Láser",D104=$D$9,"Subtitulada Vibrosound Proyección Láser")</f>
        <v>Doblada Vibrosound</v>
      </c>
      <c r="H104" s="7">
        <f t="shared" ca="1" si="58"/>
        <v>0.45833333333333331</v>
      </c>
      <c r="I104" s="7">
        <f t="shared" ref="I104:L104" ca="1" si="85">CEILING(H104+$F104,"0:10")</f>
        <v>0.54166666666666663</v>
      </c>
      <c r="J104" s="7">
        <f t="shared" ca="1" si="85"/>
        <v>0.625</v>
      </c>
      <c r="K104" s="7">
        <f t="shared" ca="1" si="85"/>
        <v>0.70833333333333326</v>
      </c>
      <c r="L104" s="7">
        <f t="shared" ca="1" si="85"/>
        <v>0.79166666666666663</v>
      </c>
      <c r="M104" s="6">
        <f t="shared" ca="1" si="65"/>
        <v>5</v>
      </c>
      <c r="N104" t="str">
        <f t="shared" ca="1" si="66"/>
        <v>JÓVENES / ADULTOS</v>
      </c>
    </row>
    <row r="105" spans="1:14" x14ac:dyDescent="0.3">
      <c r="A105" s="3" t="s">
        <v>50</v>
      </c>
      <c r="B105" s="3">
        <v>4</v>
      </c>
      <c r="C105" s="3">
        <v>119</v>
      </c>
      <c r="D105" t="str" cm="1">
        <f t="array" aca="1" ref="D105" ca="1">IF(COUNTIF(Star_Chorrillos,_xlfn.MODE.MULT(Star_Chorrillos))=COUNT(Star_Chorrillos),INDEX($D$6:$D$9,RANDBETWEEN(1,COUNTA($D$6:$D$9))),_xlfn.IFS(AND(C105&gt;=50,C105&lt;100),$D$6,AND(C105&gt;=100,C105&lt;150),$D$7,AND(C105&gt;=150,C105&lt;200),$D$8,AND(C105&gt;=200,C105&lt;300),$D$9))</f>
        <v>ALERTA EXTINCIÓN</v>
      </c>
      <c r="E105" s="4" t="str">
        <f t="shared" ca="1" si="62"/>
        <v>ACCIÓN / COMEDIA</v>
      </c>
      <c r="F105" s="4">
        <f t="shared" ca="1" si="63"/>
        <v>8.2638888888888901E-2</v>
      </c>
      <c r="G105" s="4" t="str" cm="1">
        <f t="array" aca="1" ref="G105" ca="1">_xlfn.IFS(D105=$D$6,"Doblada",D105=$D$7,"Doblada Vibrosound",D105=$D$8,"Doblada Proyección Láser",D105=$D$9,"Subtitulada Vibrosound Proyección Láser")</f>
        <v>Doblada Vibrosound</v>
      </c>
      <c r="H105" s="7">
        <f t="shared" ca="1" si="58"/>
        <v>0.45833333333333331</v>
      </c>
      <c r="I105" s="7">
        <f t="shared" ref="I105:L105" ca="1" si="86">CEILING(H105+$F105,"0:10")</f>
        <v>0.54166666666666663</v>
      </c>
      <c r="J105" s="7">
        <f t="shared" ca="1" si="86"/>
        <v>0.625</v>
      </c>
      <c r="K105" s="7">
        <f t="shared" ca="1" si="86"/>
        <v>0.70833333333333326</v>
      </c>
      <c r="L105" s="7">
        <f t="shared" ca="1" si="86"/>
        <v>0.79166666666666663</v>
      </c>
      <c r="M105" s="6">
        <f t="shared" ca="1" si="65"/>
        <v>5</v>
      </c>
      <c r="N105" t="str">
        <f t="shared" ca="1" si="66"/>
        <v>JÓVENES / ADULTOS</v>
      </c>
    </row>
    <row r="106" spans="1:14" x14ac:dyDescent="0.3">
      <c r="E106" s="4"/>
      <c r="F106" s="4"/>
      <c r="G106" s="4"/>
      <c r="H106" s="7"/>
      <c r="I106" s="7"/>
      <c r="J106" s="7"/>
      <c r="K106" s="7"/>
      <c r="L106" s="7"/>
      <c r="M106" s="6"/>
    </row>
    <row r="107" spans="1:14" x14ac:dyDescent="0.3">
      <c r="A107" s="3" t="s">
        <v>51</v>
      </c>
      <c r="B107" s="3">
        <v>1</v>
      </c>
      <c r="C107" s="3">
        <v>208</v>
      </c>
      <c r="D107" t="str" cm="1">
        <f t="array" aca="1" ref="D107" ca="1">IF(COUNTIF(Star_Sur,_xlfn.MODE.MULT(Star_Sur))=COUNT(Star_Sur),INDEX($D$6:$D$9,RANDBETWEEN(1,COUNTA($D$6:$D$9))),_xlfn.IFS(AND(C107&gt;=50,C107&lt;100),$D$6,AND(C107&gt;=100,C107&lt;150),$D$7,AND(C107&gt;=150,C107&lt;200),$D$8,AND(C107&gt;=200,C107&lt;300),$D$9))</f>
        <v>MARTY SUPREMO</v>
      </c>
      <c r="E107" s="4" t="str">
        <f t="shared" ca="1" si="62"/>
        <v>DRAMA</v>
      </c>
      <c r="F107" s="4">
        <f t="shared" ca="1" si="63"/>
        <v>0.11805555555555557</v>
      </c>
      <c r="G107" s="4" t="str" cm="1">
        <f t="array" aca="1" ref="G107" ca="1">_xlfn.IFS(D107=$D$6,"Doblada",D107=$D$7,"Doblada Vibrosound",D107=$D$8,"Doblada Proyección Láser",D107=$D$9,"Subtitulada Vibrosound Proyección Láser")</f>
        <v>Subtitulada Vibrosound Proyección Láser</v>
      </c>
      <c r="H107" s="7">
        <f t="shared" ca="1" si="58"/>
        <v>0.45833333333333331</v>
      </c>
      <c r="I107" s="7">
        <f t="shared" ref="I107:L107" ca="1" si="87">CEILING(H107+$F107,"0:10")</f>
        <v>0.57638888888888884</v>
      </c>
      <c r="J107" s="7">
        <f t="shared" ca="1" si="87"/>
        <v>0.69444444444444442</v>
      </c>
      <c r="K107" s="7">
        <f t="shared" ca="1" si="87"/>
        <v>0.8125</v>
      </c>
      <c r="L107" s="7">
        <f t="shared" ca="1" si="87"/>
        <v>0.93055555555555547</v>
      </c>
      <c r="M107" s="6">
        <f t="shared" ca="1" si="65"/>
        <v>5</v>
      </c>
      <c r="N107" t="str">
        <f t="shared" ca="1" si="66"/>
        <v>ADULTOS</v>
      </c>
    </row>
    <row r="108" spans="1:14" x14ac:dyDescent="0.3">
      <c r="A108" s="3" t="s">
        <v>51</v>
      </c>
      <c r="B108" s="3">
        <v>2</v>
      </c>
      <c r="C108" s="3">
        <v>208</v>
      </c>
      <c r="D108" t="str" cm="1">
        <f t="array" aca="1" ref="D108" ca="1">IF(COUNTIF(Star_Sur,_xlfn.MODE.MULT(Star_Sur))=COUNT(Star_Sur),INDEX($D$6:$D$9,RANDBETWEEN(1,COUNTA($D$6:$D$9))),_xlfn.IFS(AND(C108&gt;=50,C108&lt;100),$D$6,AND(C108&gt;=100,C108&lt;150),$D$7,AND(C108&gt;=150,C108&lt;200),$D$8,AND(C108&gt;=200,C108&lt;300),$D$9))</f>
        <v>MARTY SUPREMO</v>
      </c>
      <c r="E108" s="4" t="str">
        <f t="shared" ca="1" si="62"/>
        <v>DRAMA</v>
      </c>
      <c r="F108" s="4">
        <f t="shared" ca="1" si="63"/>
        <v>0.11805555555555557</v>
      </c>
      <c r="G108" s="4" t="str" cm="1">
        <f t="array" aca="1" ref="G108" ca="1">_xlfn.IFS(D108=$D$6,"Doblada",D108=$D$7,"Doblada Vibrosound",D108=$D$8,"Doblada Proyección Láser",D108=$D$9,"Subtitulada Vibrosound Proyección Láser")</f>
        <v>Subtitulada Vibrosound Proyección Láser</v>
      </c>
      <c r="H108" s="7">
        <f t="shared" ca="1" si="58"/>
        <v>0.45833333333333331</v>
      </c>
      <c r="I108" s="7">
        <f t="shared" ref="I108:L108" ca="1" si="88">CEILING(H108+$F108,"0:10")</f>
        <v>0.57638888888888884</v>
      </c>
      <c r="J108" s="7">
        <f t="shared" ca="1" si="88"/>
        <v>0.69444444444444442</v>
      </c>
      <c r="K108" s="7">
        <f t="shared" ca="1" si="88"/>
        <v>0.8125</v>
      </c>
      <c r="L108" s="7">
        <f t="shared" ca="1" si="88"/>
        <v>0.93055555555555547</v>
      </c>
      <c r="M108" s="6">
        <f t="shared" ca="1" si="65"/>
        <v>5</v>
      </c>
      <c r="N108" t="str">
        <f t="shared" ca="1" si="66"/>
        <v>ADULTOS</v>
      </c>
    </row>
    <row r="109" spans="1:14" x14ac:dyDescent="0.3">
      <c r="A109" s="3" t="s">
        <v>51</v>
      </c>
      <c r="B109" s="3">
        <v>3</v>
      </c>
      <c r="C109" s="3">
        <v>208</v>
      </c>
      <c r="D109" t="str" cm="1">
        <f t="array" aca="1" ref="D109" ca="1">IF(COUNTIF(Star_Sur,_xlfn.MODE.MULT(Star_Sur))=COUNT(Star_Sur),INDEX($D$6:$D$9,RANDBETWEEN(1,COUNTA($D$6:$D$9))),_xlfn.IFS(AND(C109&gt;=50,C109&lt;100),$D$6,AND(C109&gt;=100,C109&lt;150),$D$7,AND(C109&gt;=150,C109&lt;200),$D$8,AND(C109&gt;=200,C109&lt;300),$D$9))</f>
        <v>MARTY SUPREMO</v>
      </c>
      <c r="E109" s="4" t="str">
        <f t="shared" ca="1" si="62"/>
        <v>DRAMA</v>
      </c>
      <c r="F109" s="4">
        <f t="shared" ca="1" si="63"/>
        <v>0.11805555555555557</v>
      </c>
      <c r="G109" s="4" t="str" cm="1">
        <f t="array" aca="1" ref="G109" ca="1">_xlfn.IFS(D109=$D$6,"Doblada",D109=$D$7,"Doblada Vibrosound",D109=$D$8,"Doblada Proyección Láser",D109=$D$9,"Subtitulada Vibrosound Proyección Láser")</f>
        <v>Subtitulada Vibrosound Proyección Láser</v>
      </c>
      <c r="H109" s="7">
        <f t="shared" ca="1" si="58"/>
        <v>0.45833333333333331</v>
      </c>
      <c r="I109" s="7">
        <f t="shared" ref="I109:L109" ca="1" si="89">CEILING(H109+$F109,"0:10")</f>
        <v>0.57638888888888884</v>
      </c>
      <c r="J109" s="7">
        <f t="shared" ca="1" si="89"/>
        <v>0.69444444444444442</v>
      </c>
      <c r="K109" s="7">
        <f t="shared" ca="1" si="89"/>
        <v>0.8125</v>
      </c>
      <c r="L109" s="7">
        <f t="shared" ca="1" si="89"/>
        <v>0.93055555555555547</v>
      </c>
      <c r="M109" s="6">
        <f t="shared" ca="1" si="65"/>
        <v>5</v>
      </c>
      <c r="N109" t="str">
        <f t="shared" ca="1" si="66"/>
        <v>ADULTOS</v>
      </c>
    </row>
    <row r="110" spans="1:14" x14ac:dyDescent="0.3">
      <c r="A110" s="3" t="s">
        <v>51</v>
      </c>
      <c r="B110" s="3">
        <v>4</v>
      </c>
      <c r="C110" s="3">
        <v>132</v>
      </c>
      <c r="D110" t="str" cm="1">
        <f t="array" aca="1" ref="D110" ca="1">IF(COUNTIF(Star_Sur,_xlfn.MODE.MULT(Star_Sur))=COUNT(Star_Sur),INDEX($D$6:$D$9,RANDBETWEEN(1,COUNTA($D$6:$D$9))),_xlfn.IFS(AND(C110&gt;=50,C110&lt;100),$D$6,AND(C110&gt;=100,C110&lt;150),$D$7,AND(C110&gt;=150,C110&lt;200),$D$8,AND(C110&gt;=200,C110&lt;300),$D$9))</f>
        <v>ALERTA EXTINCIÓN</v>
      </c>
      <c r="E110" s="4" t="str">
        <f t="shared" ca="1" si="62"/>
        <v>ACCIÓN / COMEDIA</v>
      </c>
      <c r="F110" s="4">
        <f t="shared" ca="1" si="63"/>
        <v>8.2638888888888901E-2</v>
      </c>
      <c r="G110" s="4" t="str" cm="1">
        <f t="array" aca="1" ref="G110" ca="1">_xlfn.IFS(D110=$D$6,"Doblada",D110=$D$7,"Doblada Vibrosound",D110=$D$8,"Doblada Proyección Láser",D110=$D$9,"Subtitulada Vibrosound Proyección Láser")</f>
        <v>Doblada Vibrosound</v>
      </c>
      <c r="H110" s="7">
        <f t="shared" ca="1" si="58"/>
        <v>0.45833333333333331</v>
      </c>
      <c r="I110" s="7">
        <f t="shared" ref="I110:L110" ca="1" si="90">CEILING(H110+$F110,"0:10")</f>
        <v>0.54166666666666663</v>
      </c>
      <c r="J110" s="7">
        <f t="shared" ca="1" si="90"/>
        <v>0.625</v>
      </c>
      <c r="K110" s="7">
        <f t="shared" ca="1" si="90"/>
        <v>0.70833333333333326</v>
      </c>
      <c r="L110" s="7">
        <f t="shared" ca="1" si="90"/>
        <v>0.79166666666666663</v>
      </c>
      <c r="M110" s="6">
        <f t="shared" ca="1" si="65"/>
        <v>5</v>
      </c>
      <c r="N110" t="str">
        <f t="shared" ca="1" si="66"/>
        <v>JÓVENES / ADULTOS</v>
      </c>
    </row>
    <row r="111" spans="1:14" x14ac:dyDescent="0.3">
      <c r="A111" s="3" t="s">
        <v>51</v>
      </c>
      <c r="B111" s="3">
        <v>5</v>
      </c>
      <c r="C111" s="3">
        <v>179</v>
      </c>
      <c r="D111" t="str" cm="1">
        <f t="array" aca="1" ref="D111" ca="1">IF(COUNTIF(Star_Sur,_xlfn.MODE.MULT(Star_Sur))=COUNT(Star_Sur),INDEX($D$6:$D$9,RANDBETWEEN(1,COUNTA($D$6:$D$9))),_xlfn.IFS(AND(C111&gt;=50,C111&lt;100),$D$6,AND(C111&gt;=100,C111&lt;150),$D$7,AND(C111&gt;=150,C111&lt;200),$D$8,AND(C111&gt;=200,C111&lt;300),$D$9))</f>
        <v>STREAMING PARANORMAL</v>
      </c>
      <c r="E111" s="4" t="str">
        <f t="shared" ca="1" si="62"/>
        <v>TERROR</v>
      </c>
      <c r="F111" s="4">
        <f t="shared" ca="1" si="63"/>
        <v>7.7777777777777779E-2</v>
      </c>
      <c r="G111" s="4" t="str" cm="1">
        <f t="array" aca="1" ref="G111" ca="1">_xlfn.IFS(D111=$D$6,"Doblada",D111=$D$7,"Doblada Vibrosound",D111=$D$8,"Doblada Proyección Láser",D111=$D$9,"Subtitulada Vibrosound Proyección Láser")</f>
        <v>Doblada Proyección Láser</v>
      </c>
      <c r="H111" s="7">
        <f t="shared" ca="1" si="58"/>
        <v>0.45833333333333331</v>
      </c>
      <c r="I111" s="7">
        <f t="shared" ref="I111:L111" ca="1" si="91">CEILING(H111+$F111,"0:10")</f>
        <v>0.54166666666666663</v>
      </c>
      <c r="J111" s="7">
        <f t="shared" ca="1" si="91"/>
        <v>0.625</v>
      </c>
      <c r="K111" s="7">
        <f t="shared" ca="1" si="91"/>
        <v>0.70833333333333326</v>
      </c>
      <c r="L111" s="7">
        <f t="shared" ca="1" si="91"/>
        <v>0.79166666666666663</v>
      </c>
      <c r="M111" s="6">
        <f t="shared" ca="1" si="65"/>
        <v>5</v>
      </c>
      <c r="N111" t="str">
        <f t="shared" ca="1" si="66"/>
        <v>JÓVENES / ADULTOS</v>
      </c>
    </row>
    <row r="112" spans="1:14" x14ac:dyDescent="0.3">
      <c r="A112" s="3" t="s">
        <v>51</v>
      </c>
      <c r="B112" s="3">
        <v>6</v>
      </c>
      <c r="C112" s="3">
        <v>208</v>
      </c>
      <c r="D112" t="str" cm="1">
        <f t="array" aca="1" ref="D112" ca="1">IF(COUNTIF(Star_Sur,_xlfn.MODE.MULT(Star_Sur))=COUNT(Star_Sur),INDEX($D$6:$D$9,RANDBETWEEN(1,COUNTA($D$6:$D$9))),_xlfn.IFS(AND(C112&gt;=50,C112&lt;100),$D$6,AND(C112&gt;=100,C112&lt;150),$D$7,AND(C112&gt;=150,C112&lt;200),$D$8,AND(C112&gt;=200,C112&lt;300),$D$9))</f>
        <v>MARTY SUPREMO</v>
      </c>
      <c r="E112" s="4" t="str">
        <f t="shared" ca="1" si="62"/>
        <v>DRAMA</v>
      </c>
      <c r="F112" s="4">
        <f t="shared" ca="1" si="63"/>
        <v>0.11805555555555557</v>
      </c>
      <c r="G112" s="4" t="str" cm="1">
        <f t="array" aca="1" ref="G112" ca="1">_xlfn.IFS(D112=$D$6,"Doblada",D112=$D$7,"Doblada Vibrosound",D112=$D$8,"Doblada Proyección Láser",D112=$D$9,"Subtitulada Vibrosound Proyección Láser")</f>
        <v>Subtitulada Vibrosound Proyección Láser</v>
      </c>
      <c r="H112" s="7">
        <f t="shared" ca="1" si="58"/>
        <v>0.45833333333333331</v>
      </c>
      <c r="I112" s="7">
        <f t="shared" ref="I112:L112" ca="1" si="92">CEILING(H112+$F112,"0:10")</f>
        <v>0.57638888888888884</v>
      </c>
      <c r="J112" s="7">
        <f t="shared" ca="1" si="92"/>
        <v>0.69444444444444442</v>
      </c>
      <c r="K112" s="7">
        <f t="shared" ca="1" si="92"/>
        <v>0.8125</v>
      </c>
      <c r="L112" s="7">
        <f t="shared" ca="1" si="92"/>
        <v>0.93055555555555547</v>
      </c>
      <c r="M112" s="6">
        <f t="shared" ca="1" si="65"/>
        <v>5</v>
      </c>
      <c r="N112" t="str">
        <f t="shared" ca="1" si="66"/>
        <v>ADULTOS</v>
      </c>
    </row>
    <row r="113" spans="1:14" x14ac:dyDescent="0.3">
      <c r="E113" s="4"/>
      <c r="F113" s="4"/>
      <c r="G113" s="4"/>
      <c r="H113" s="7"/>
      <c r="I113" s="7"/>
      <c r="J113" s="7"/>
      <c r="K113" s="7"/>
      <c r="L113" s="7"/>
      <c r="M113" s="6"/>
    </row>
    <row r="114" spans="1:14" x14ac:dyDescent="0.3">
      <c r="A114" s="3" t="s">
        <v>52</v>
      </c>
      <c r="B114" s="3">
        <v>1</v>
      </c>
      <c r="C114" s="3">
        <v>171</v>
      </c>
      <c r="D114" t="str" cm="1">
        <f t="array" aca="1" ref="D114" ca="1">IF(COUNTIF(Star_UNI,_xlfn.MODE.MULT(Star_UNI))=COUNT(Star_UNI),INDEX($D$6:$D$9,RANDBETWEEN(1,COUNTA($D$6:$D$9))),_xlfn.IFS(AND(C114&gt;=50,C114&lt;100),$D$6,AND(C114&gt;=100,C114&lt;150),$D$7,AND(C114&gt;=150,C114&lt;200),$D$8,AND(C114&gt;=200,C114&lt;300),$D$9))</f>
        <v>MARTY SUPREMO</v>
      </c>
      <c r="E114" s="4" t="str">
        <f t="shared" ca="1" si="62"/>
        <v>DRAMA</v>
      </c>
      <c r="F114" s="4">
        <f t="shared" ca="1" si="63"/>
        <v>0.11805555555555557</v>
      </c>
      <c r="G114" s="4" t="str" cm="1">
        <f t="array" aca="1" ref="G114" ca="1">_xlfn.IFS(D114=$D$6,"Doblada",D114=$D$7,"Doblada Vibrosound",D114=$D$8,"Doblada Proyección Láser",D114=$D$9,"Subtitulada Vibrosound Proyección Láser")</f>
        <v>Subtitulada Vibrosound Proyección Láser</v>
      </c>
      <c r="H114" s="7">
        <f t="shared" ca="1" si="58"/>
        <v>0.45833333333333331</v>
      </c>
      <c r="I114" s="7">
        <f t="shared" ref="I114:L114" ca="1" si="93">CEILING(H114+$F114,"0:10")</f>
        <v>0.57638888888888884</v>
      </c>
      <c r="J114" s="7">
        <f t="shared" ca="1" si="93"/>
        <v>0.69444444444444442</v>
      </c>
      <c r="K114" s="7">
        <f t="shared" ca="1" si="93"/>
        <v>0.8125</v>
      </c>
      <c r="L114" s="7">
        <f t="shared" ca="1" si="93"/>
        <v>0.93055555555555547</v>
      </c>
      <c r="M114" s="6">
        <f t="shared" ca="1" si="65"/>
        <v>5</v>
      </c>
      <c r="N114" t="str">
        <f t="shared" ca="1" si="66"/>
        <v>ADULTOS</v>
      </c>
    </row>
    <row r="115" spans="1:14" x14ac:dyDescent="0.3">
      <c r="A115" s="3" t="s">
        <v>52</v>
      </c>
      <c r="B115" s="3">
        <v>2</v>
      </c>
      <c r="C115" s="3">
        <v>171</v>
      </c>
      <c r="D115" t="str" cm="1">
        <f t="array" aca="1" ref="D115" ca="1">IF(COUNTIF(Star_UNI,_xlfn.MODE.MULT(Star_UNI))=COUNT(Star_UNI),INDEX($D$6:$D$9,RANDBETWEEN(1,COUNTA($D$6:$D$9))),_xlfn.IFS(AND(C115&gt;=50,C115&lt;100),$D$6,AND(C115&gt;=100,C115&lt;150),$D$7,AND(C115&gt;=150,C115&lt;200),$D$8,AND(C115&gt;=200,C115&lt;300),$D$9))</f>
        <v>MOON MI AMIGO EL PANDA</v>
      </c>
      <c r="E115" s="4" t="str">
        <f t="shared" ca="1" si="62"/>
        <v>FAMILIAR</v>
      </c>
      <c r="F115" s="4">
        <f t="shared" ca="1" si="63"/>
        <v>8.3333333333333343E-2</v>
      </c>
      <c r="G115" s="4" t="str" cm="1">
        <f t="array" aca="1" ref="G115" ca="1">_xlfn.IFS(D115=$D$6,"Doblada",D115=$D$7,"Doblada Vibrosound",D115=$D$8,"Doblada Proyección Láser",D115=$D$9,"Subtitulada Vibrosound Proyección Láser")</f>
        <v>Doblada</v>
      </c>
      <c r="H115" s="7">
        <f t="shared" ca="1" si="58"/>
        <v>0.4375</v>
      </c>
      <c r="I115" s="7">
        <f t="shared" ref="I115:L115" ca="1" si="94">CEILING(H115+$F115,"0:10")</f>
        <v>0.52083333333333326</v>
      </c>
      <c r="J115" s="7">
        <f t="shared" ca="1" si="94"/>
        <v>0.60416666666666663</v>
      </c>
      <c r="K115" s="7">
        <f t="shared" ca="1" si="94"/>
        <v>0.6875</v>
      </c>
      <c r="L115" s="7">
        <f t="shared" ca="1" si="94"/>
        <v>0.77083333333333326</v>
      </c>
      <c r="M115" s="6">
        <f t="shared" ca="1" si="65"/>
        <v>5</v>
      </c>
      <c r="N115" t="str">
        <f t="shared" ca="1" si="66"/>
        <v>NIÑOS</v>
      </c>
    </row>
    <row r="116" spans="1:14" x14ac:dyDescent="0.3">
      <c r="A116" s="3" t="s">
        <v>52</v>
      </c>
      <c r="B116" s="3">
        <v>3</v>
      </c>
      <c r="C116" s="3">
        <v>171</v>
      </c>
      <c r="D116" t="str" cm="1">
        <f t="array" aca="1" ref="D116" ca="1">IF(COUNTIF(Star_UNI,_xlfn.MODE.MULT(Star_UNI))=COUNT(Star_UNI),INDEX($D$6:$D$9,RANDBETWEEN(1,COUNTA($D$6:$D$9))),_xlfn.IFS(AND(C116&gt;=50,C116&lt;100),$D$6,AND(C116&gt;=100,C116&lt;150),$D$7,AND(C116&gt;=150,C116&lt;200),$D$8,AND(C116&gt;=200,C116&lt;300),$D$9))</f>
        <v>STREAMING PARANORMAL</v>
      </c>
      <c r="E116" s="4" t="str">
        <f t="shared" ca="1" si="62"/>
        <v>TERROR</v>
      </c>
      <c r="F116" s="4">
        <f t="shared" ca="1" si="63"/>
        <v>7.7777777777777779E-2</v>
      </c>
      <c r="G116" s="4" t="str" cm="1">
        <f t="array" aca="1" ref="G116" ca="1">_xlfn.IFS(D116=$D$6,"Doblada",D116=$D$7,"Doblada Vibrosound",D116=$D$8,"Doblada Proyección Láser",D116=$D$9,"Subtitulada Vibrosound Proyección Láser")</f>
        <v>Doblada Proyección Láser</v>
      </c>
      <c r="H116" s="7">
        <f t="shared" ca="1" si="58"/>
        <v>0.45833333333333331</v>
      </c>
      <c r="I116" s="7">
        <f t="shared" ref="I116:L116" ca="1" si="95">CEILING(H116+$F116,"0:10")</f>
        <v>0.54166666666666663</v>
      </c>
      <c r="J116" s="7">
        <f t="shared" ca="1" si="95"/>
        <v>0.625</v>
      </c>
      <c r="K116" s="7">
        <f t="shared" ca="1" si="95"/>
        <v>0.70833333333333326</v>
      </c>
      <c r="L116" s="7">
        <f t="shared" ca="1" si="95"/>
        <v>0.79166666666666663</v>
      </c>
      <c r="M116" s="6">
        <f t="shared" ca="1" si="65"/>
        <v>5</v>
      </c>
      <c r="N116" t="str">
        <f t="shared" ca="1" si="66"/>
        <v>JÓVENES / ADULTOS</v>
      </c>
    </row>
    <row r="117" spans="1:14" x14ac:dyDescent="0.3">
      <c r="A117" s="3" t="s">
        <v>52</v>
      </c>
      <c r="B117" s="3">
        <v>4</v>
      </c>
      <c r="C117" s="3">
        <v>171</v>
      </c>
      <c r="D117" t="str" cm="1">
        <f t="array" aca="1" ref="D117" ca="1">IF(COUNTIF(Star_UNI,_xlfn.MODE.MULT(Star_UNI))=COUNT(Star_UNI),INDEX($D$6:$D$9,RANDBETWEEN(1,COUNTA($D$6:$D$9))),_xlfn.IFS(AND(C117&gt;=50,C117&lt;100),$D$6,AND(C117&gt;=100,C117&lt;150),$D$7,AND(C117&gt;=150,C117&lt;200),$D$8,AND(C117&gt;=200,C117&lt;300),$D$9))</f>
        <v>MARTY SUPREMO</v>
      </c>
      <c r="E117" s="4" t="str">
        <f t="shared" ca="1" si="62"/>
        <v>DRAMA</v>
      </c>
      <c r="F117" s="4">
        <f t="shared" ca="1" si="63"/>
        <v>0.11805555555555557</v>
      </c>
      <c r="G117" s="4" t="str" cm="1">
        <f t="array" aca="1" ref="G117" ca="1">_xlfn.IFS(D117=$D$6,"Doblada",D117=$D$7,"Doblada Vibrosound",D117=$D$8,"Doblada Proyección Láser",D117=$D$9,"Subtitulada Vibrosound Proyección Láser")</f>
        <v>Subtitulada Vibrosound Proyección Láser</v>
      </c>
      <c r="H117" s="7">
        <f t="shared" ca="1" si="58"/>
        <v>0.45833333333333331</v>
      </c>
      <c r="I117" s="7">
        <f t="shared" ref="I117:L117" ca="1" si="96">CEILING(H117+$F117,"0:10")</f>
        <v>0.57638888888888884</v>
      </c>
      <c r="J117" s="7">
        <f t="shared" ca="1" si="96"/>
        <v>0.69444444444444442</v>
      </c>
      <c r="K117" s="7">
        <f t="shared" ca="1" si="96"/>
        <v>0.8125</v>
      </c>
      <c r="L117" s="7">
        <f t="shared" ca="1" si="96"/>
        <v>0.93055555555555547</v>
      </c>
      <c r="M117" s="6">
        <f t="shared" ca="1" si="65"/>
        <v>5</v>
      </c>
      <c r="N117" t="str">
        <f t="shared" ca="1" si="66"/>
        <v>ADULTOS</v>
      </c>
    </row>
    <row r="118" spans="1:14" x14ac:dyDescent="0.3">
      <c r="A118" s="3" t="s">
        <v>52</v>
      </c>
      <c r="B118" s="3">
        <v>5</v>
      </c>
      <c r="C118" s="3">
        <v>171</v>
      </c>
      <c r="D118" t="str" cm="1">
        <f t="array" aca="1" ref="D118" ca="1">IF(COUNTIF(Star_UNI,_xlfn.MODE.MULT(Star_UNI))=COUNT(Star_UNI),INDEX($D$6:$D$9,RANDBETWEEN(1,COUNTA($D$6:$D$9))),_xlfn.IFS(AND(C118&gt;=50,C118&lt;100),$D$6,AND(C118&gt;=100,C118&lt;150),$D$7,AND(C118&gt;=150,C118&lt;200),$D$8,AND(C118&gt;=200,C118&lt;300),$D$9))</f>
        <v>ALERTA EXTINCIÓN</v>
      </c>
      <c r="E118" s="4" t="str">
        <f t="shared" ca="1" si="62"/>
        <v>ACCIÓN / COMEDIA</v>
      </c>
      <c r="F118" s="4">
        <f t="shared" ca="1" si="63"/>
        <v>8.2638888888888901E-2</v>
      </c>
      <c r="G118" s="4" t="str" cm="1">
        <f t="array" aca="1" ref="G118" ca="1">_xlfn.IFS(D118=$D$6,"Doblada",D118=$D$7,"Doblada Vibrosound",D118=$D$8,"Doblada Proyección Láser",D118=$D$9,"Subtitulada Vibrosound Proyección Láser")</f>
        <v>Doblada Vibrosound</v>
      </c>
      <c r="H118" s="7">
        <f t="shared" ca="1" si="58"/>
        <v>0.45833333333333331</v>
      </c>
      <c r="I118" s="7">
        <f t="shared" ref="I118:L118" ca="1" si="97">CEILING(H118+$F118,"0:10")</f>
        <v>0.54166666666666663</v>
      </c>
      <c r="J118" s="7">
        <f t="shared" ca="1" si="97"/>
        <v>0.625</v>
      </c>
      <c r="K118" s="7">
        <f t="shared" ca="1" si="97"/>
        <v>0.70833333333333326</v>
      </c>
      <c r="L118" s="7">
        <f t="shared" ca="1" si="97"/>
        <v>0.79166666666666663</v>
      </c>
      <c r="M118" s="6">
        <f t="shared" ca="1" si="65"/>
        <v>5</v>
      </c>
      <c r="N118" t="str">
        <f t="shared" ca="1" si="66"/>
        <v>JÓVENES / ADULTOS</v>
      </c>
    </row>
    <row r="119" spans="1:14" x14ac:dyDescent="0.3">
      <c r="A119" s="3" t="s">
        <v>52</v>
      </c>
      <c r="B119" s="3">
        <v>6</v>
      </c>
      <c r="C119" s="3">
        <v>171</v>
      </c>
      <c r="D119" t="str" cm="1">
        <f t="array" aca="1" ref="D119" ca="1">IF(COUNTIF(Star_UNI,_xlfn.MODE.MULT(Star_UNI))=COUNT(Star_UNI),INDEX($D$6:$D$9,RANDBETWEEN(1,COUNTA($D$6:$D$9))),_xlfn.IFS(AND(C119&gt;=50,C119&lt;100),$D$6,AND(C119&gt;=100,C119&lt;150),$D$7,AND(C119&gt;=150,C119&lt;200),$D$8,AND(C119&gt;=200,C119&lt;300),$D$9))</f>
        <v>STREAMING PARANORMAL</v>
      </c>
      <c r="E119" s="4" t="str">
        <f t="shared" ca="1" si="62"/>
        <v>TERROR</v>
      </c>
      <c r="F119" s="4">
        <f t="shared" ca="1" si="63"/>
        <v>7.7777777777777779E-2</v>
      </c>
      <c r="G119" s="4" t="str" cm="1">
        <f t="array" aca="1" ref="G119" ca="1">_xlfn.IFS(D119=$D$6,"Doblada",D119=$D$7,"Doblada Vibrosound",D119=$D$8,"Doblada Proyección Láser",D119=$D$9,"Subtitulada Vibrosound Proyección Láser")</f>
        <v>Doblada Proyección Láser</v>
      </c>
      <c r="H119" s="7">
        <f t="shared" ca="1" si="58"/>
        <v>0.45833333333333331</v>
      </c>
      <c r="I119" s="7">
        <f t="shared" ref="I119:L119" ca="1" si="98">CEILING(H119+$F119,"0:10")</f>
        <v>0.54166666666666663</v>
      </c>
      <c r="J119" s="7">
        <f t="shared" ca="1" si="98"/>
        <v>0.625</v>
      </c>
      <c r="K119" s="7">
        <f t="shared" ca="1" si="98"/>
        <v>0.70833333333333326</v>
      </c>
      <c r="L119" s="7">
        <f t="shared" ca="1" si="98"/>
        <v>0.79166666666666663</v>
      </c>
      <c r="M119" s="6">
        <f t="shared" ca="1" si="65"/>
        <v>5</v>
      </c>
      <c r="N119" t="str">
        <f t="shared" ca="1" si="66"/>
        <v>JÓVENES / ADULTOS</v>
      </c>
    </row>
    <row r="120" spans="1:14" x14ac:dyDescent="0.3">
      <c r="A120" s="3" t="s">
        <v>52</v>
      </c>
      <c r="B120" s="3">
        <v>7</v>
      </c>
      <c r="C120" s="3">
        <v>171</v>
      </c>
      <c r="D120" t="str" cm="1">
        <f t="array" aca="1" ref="D120" ca="1">IF(COUNTIF(Star_UNI,_xlfn.MODE.MULT(Star_UNI))=COUNT(Star_UNI),INDEX($D$6:$D$9,RANDBETWEEN(1,COUNTA($D$6:$D$9))),_xlfn.IFS(AND(C120&gt;=50,C120&lt;100),$D$6,AND(C120&gt;=100,C120&lt;150),$D$7,AND(C120&gt;=150,C120&lt;200),$D$8,AND(C120&gt;=200,C120&lt;300),$D$9))</f>
        <v>STREAMING PARANORMAL</v>
      </c>
      <c r="E120" s="4" t="str">
        <f t="shared" ca="1" si="62"/>
        <v>TERROR</v>
      </c>
      <c r="F120" s="4">
        <f t="shared" ca="1" si="63"/>
        <v>7.7777777777777779E-2</v>
      </c>
      <c r="G120" s="4" t="str" cm="1">
        <f t="array" aca="1" ref="G120" ca="1">_xlfn.IFS(D120=$D$6,"Doblada",D120=$D$7,"Doblada Vibrosound",D120=$D$8,"Doblada Proyección Láser",D120=$D$9,"Subtitulada Vibrosound Proyección Láser")</f>
        <v>Doblada Proyección Láser</v>
      </c>
      <c r="H120" s="7">
        <f t="shared" ca="1" si="58"/>
        <v>0.45833333333333331</v>
      </c>
      <c r="I120" s="7">
        <f t="shared" ref="I120:L120" ca="1" si="99">CEILING(H120+$F120,"0:10")</f>
        <v>0.54166666666666663</v>
      </c>
      <c r="J120" s="7">
        <f t="shared" ca="1" si="99"/>
        <v>0.625</v>
      </c>
      <c r="K120" s="7">
        <f t="shared" ca="1" si="99"/>
        <v>0.70833333333333326</v>
      </c>
      <c r="L120" s="7">
        <f t="shared" ca="1" si="99"/>
        <v>0.79166666666666663</v>
      </c>
      <c r="M120" s="6">
        <f t="shared" ca="1" si="65"/>
        <v>5</v>
      </c>
      <c r="N120" t="str">
        <f t="shared" ca="1" si="66"/>
        <v>JÓVENES / ADULTOS</v>
      </c>
    </row>
    <row r="121" spans="1:14" x14ac:dyDescent="0.3">
      <c r="E121" s="4"/>
      <c r="F121" s="4"/>
      <c r="G121" s="4"/>
      <c r="H121" s="7"/>
      <c r="I121" s="7"/>
      <c r="J121" s="7"/>
      <c r="K121" s="7"/>
      <c r="L121" s="7"/>
      <c r="M121" s="6"/>
    </row>
    <row r="122" spans="1:14" x14ac:dyDescent="0.3">
      <c r="A122" s="3" t="s">
        <v>53</v>
      </c>
      <c r="B122" s="3">
        <v>1</v>
      </c>
      <c r="C122" s="3">
        <v>269</v>
      </c>
      <c r="D122" t="str" cm="1">
        <f t="array" aca="1" ref="D122" ca="1">IF(COUNTIF(Star_San_Juan,_xlfn.MODE.MULT(Star_San_Juan))=COUNT(Star_San_Juan),INDEX($D$6:$D$9,RANDBETWEEN(1,COUNTA($D$6:$D$9))),_xlfn.IFS(AND(C122&gt;=50,C122&lt;100),$D$6,AND(C122&gt;=100,C122&lt;150),$D$7,AND(C122&gt;=150,C122&lt;200),$D$8,AND(C122&gt;=200,C122&lt;300),$D$9))</f>
        <v>MARTY SUPREMO</v>
      </c>
      <c r="E122" s="4" t="str">
        <f t="shared" ca="1" si="62"/>
        <v>DRAMA</v>
      </c>
      <c r="F122" s="4">
        <f t="shared" ca="1" si="63"/>
        <v>0.11805555555555557</v>
      </c>
      <c r="G122" s="4" t="str" cm="1">
        <f t="array" aca="1" ref="G122" ca="1">_xlfn.IFS(D122=$D$6,"Doblada",D122=$D$7,"Doblada Vibrosound",D122=$D$8,"Doblada Proyección Láser",D122=$D$9,"Subtitulada Vibrosound Proyección Láser")</f>
        <v>Subtitulada Vibrosound Proyección Láser</v>
      </c>
      <c r="H122" s="7">
        <f t="shared" ca="1" si="58"/>
        <v>0.45833333333333331</v>
      </c>
      <c r="I122" s="7">
        <f t="shared" ref="I122:L122" ca="1" si="100">CEILING(H122+$F122,"0:10")</f>
        <v>0.57638888888888884</v>
      </c>
      <c r="J122" s="7">
        <f t="shared" ca="1" si="100"/>
        <v>0.69444444444444442</v>
      </c>
      <c r="K122" s="7">
        <f t="shared" ca="1" si="100"/>
        <v>0.8125</v>
      </c>
      <c r="L122" s="7">
        <f t="shared" ca="1" si="100"/>
        <v>0.93055555555555547</v>
      </c>
      <c r="M122" s="6">
        <f t="shared" ca="1" si="65"/>
        <v>5</v>
      </c>
      <c r="N122" t="str">
        <f t="shared" ca="1" si="66"/>
        <v>ADULTOS</v>
      </c>
    </row>
    <row r="123" spans="1:14" x14ac:dyDescent="0.3">
      <c r="A123" s="3" t="s">
        <v>53</v>
      </c>
      <c r="B123" s="3">
        <v>2</v>
      </c>
      <c r="C123" s="3">
        <v>196</v>
      </c>
      <c r="D123" t="str" cm="1">
        <f t="array" aca="1" ref="D123" ca="1">IF(COUNTIF(Star_San_Juan,_xlfn.MODE.MULT(Star_San_Juan))=COUNT(Star_San_Juan),INDEX($D$6:$D$9,RANDBETWEEN(1,COUNTA($D$6:$D$9))),_xlfn.IFS(AND(C123&gt;=50,C123&lt;100),$D$6,AND(C123&gt;=100,C123&lt;150),$D$7,AND(C123&gt;=150,C123&lt;200),$D$8,AND(C123&gt;=200,C123&lt;300),$D$9))</f>
        <v>STREAMING PARANORMAL</v>
      </c>
      <c r="E123" s="4" t="str">
        <f t="shared" ca="1" si="62"/>
        <v>TERROR</v>
      </c>
      <c r="F123" s="4">
        <f t="shared" ca="1" si="63"/>
        <v>7.7777777777777779E-2</v>
      </c>
      <c r="G123" s="4" t="str" cm="1">
        <f t="array" aca="1" ref="G123" ca="1">_xlfn.IFS(D123=$D$6,"Doblada",D123=$D$7,"Doblada Vibrosound",D123=$D$8,"Doblada Proyección Láser",D123=$D$9,"Subtitulada Vibrosound Proyección Láser")</f>
        <v>Doblada Proyección Láser</v>
      </c>
      <c r="H123" s="7">
        <f t="shared" ca="1" si="58"/>
        <v>0.45833333333333331</v>
      </c>
      <c r="I123" s="7">
        <f t="shared" ref="I123:L123" ca="1" si="101">CEILING(H123+$F123,"0:10")</f>
        <v>0.54166666666666663</v>
      </c>
      <c r="J123" s="7">
        <f t="shared" ca="1" si="101"/>
        <v>0.625</v>
      </c>
      <c r="K123" s="7">
        <f t="shared" ca="1" si="101"/>
        <v>0.70833333333333326</v>
      </c>
      <c r="L123" s="7">
        <f t="shared" ca="1" si="101"/>
        <v>0.79166666666666663</v>
      </c>
      <c r="M123" s="6">
        <f t="shared" ca="1" si="65"/>
        <v>5</v>
      </c>
      <c r="N123" t="str">
        <f t="shared" ca="1" si="66"/>
        <v>JÓVENES / ADULTOS</v>
      </c>
    </row>
    <row r="124" spans="1:14" x14ac:dyDescent="0.3">
      <c r="A124" s="3" t="s">
        <v>53</v>
      </c>
      <c r="B124" s="3">
        <v>3</v>
      </c>
      <c r="C124" s="3">
        <v>196</v>
      </c>
      <c r="D124" t="str" cm="1">
        <f t="array" aca="1" ref="D124" ca="1">IF(COUNTIF(Star_San_Juan,_xlfn.MODE.MULT(Star_San_Juan))=COUNT(Star_San_Juan),INDEX($D$6:$D$9,RANDBETWEEN(1,COUNTA($D$6:$D$9))),_xlfn.IFS(AND(C124&gt;=50,C124&lt;100),$D$6,AND(C124&gt;=100,C124&lt;150),$D$7,AND(C124&gt;=150,C124&lt;200),$D$8,AND(C124&gt;=200,C124&lt;300),$D$9))</f>
        <v>STREAMING PARANORMAL</v>
      </c>
      <c r="E124" s="4" t="str">
        <f t="shared" ca="1" si="62"/>
        <v>TERROR</v>
      </c>
      <c r="F124" s="4">
        <f t="shared" ca="1" si="63"/>
        <v>7.7777777777777779E-2</v>
      </c>
      <c r="G124" s="4" t="str" cm="1">
        <f t="array" aca="1" ref="G124" ca="1">_xlfn.IFS(D124=$D$6,"Doblada",D124=$D$7,"Doblada Vibrosound",D124=$D$8,"Doblada Proyección Láser",D124=$D$9,"Subtitulada Vibrosound Proyección Láser")</f>
        <v>Doblada Proyección Láser</v>
      </c>
      <c r="H124" s="7">
        <f t="shared" ca="1" si="58"/>
        <v>0.45833333333333331</v>
      </c>
      <c r="I124" s="7">
        <f t="shared" ref="I124:L124" ca="1" si="102">CEILING(H124+$F124,"0:10")</f>
        <v>0.54166666666666663</v>
      </c>
      <c r="J124" s="7">
        <f t="shared" ca="1" si="102"/>
        <v>0.625</v>
      </c>
      <c r="K124" s="7">
        <f t="shared" ca="1" si="102"/>
        <v>0.70833333333333326</v>
      </c>
      <c r="L124" s="7">
        <f t="shared" ca="1" si="102"/>
        <v>0.79166666666666663</v>
      </c>
      <c r="M124" s="6">
        <f t="shared" ca="1" si="65"/>
        <v>5</v>
      </c>
      <c r="N124" t="str">
        <f t="shared" ca="1" si="66"/>
        <v>JÓVENES / ADULTOS</v>
      </c>
    </row>
    <row r="125" spans="1:14" x14ac:dyDescent="0.3">
      <c r="A125" s="3" t="s">
        <v>53</v>
      </c>
      <c r="B125" s="3">
        <v>4</v>
      </c>
      <c r="C125" s="3">
        <v>196</v>
      </c>
      <c r="D125" t="str" cm="1">
        <f t="array" aca="1" ref="D125" ca="1">IF(COUNTIF(Star_San_Juan,_xlfn.MODE.MULT(Star_San_Juan))=COUNT(Star_San_Juan),INDEX($D$6:$D$9,RANDBETWEEN(1,COUNTA($D$6:$D$9))),_xlfn.IFS(AND(C125&gt;=50,C125&lt;100),$D$6,AND(C125&gt;=100,C125&lt;150),$D$7,AND(C125&gt;=150,C125&lt;200),$D$8,AND(C125&gt;=200,C125&lt;300),$D$9))</f>
        <v>STREAMING PARANORMAL</v>
      </c>
      <c r="E125" s="4" t="str">
        <f t="shared" ca="1" si="62"/>
        <v>TERROR</v>
      </c>
      <c r="F125" s="4">
        <f t="shared" ca="1" si="63"/>
        <v>7.7777777777777779E-2</v>
      </c>
      <c r="G125" s="4" t="str" cm="1">
        <f t="array" aca="1" ref="G125" ca="1">_xlfn.IFS(D125=$D$6,"Doblada",D125=$D$7,"Doblada Vibrosound",D125=$D$8,"Doblada Proyección Láser",D125=$D$9,"Subtitulada Vibrosound Proyección Láser")</f>
        <v>Doblada Proyección Láser</v>
      </c>
      <c r="H125" s="7">
        <f t="shared" ca="1" si="58"/>
        <v>0.45833333333333331</v>
      </c>
      <c r="I125" s="7">
        <f t="shared" ref="I125:L125" ca="1" si="103">CEILING(H125+$F125,"0:10")</f>
        <v>0.54166666666666663</v>
      </c>
      <c r="J125" s="7">
        <f t="shared" ca="1" si="103"/>
        <v>0.625</v>
      </c>
      <c r="K125" s="7">
        <f t="shared" ca="1" si="103"/>
        <v>0.70833333333333326</v>
      </c>
      <c r="L125" s="7">
        <f t="shared" ca="1" si="103"/>
        <v>0.79166666666666663</v>
      </c>
      <c r="M125" s="6">
        <f t="shared" ca="1" si="65"/>
        <v>5</v>
      </c>
      <c r="N125" t="str">
        <f t="shared" ca="1" si="66"/>
        <v>JÓVENES / ADULTOS</v>
      </c>
    </row>
    <row r="126" spans="1:14" x14ac:dyDescent="0.3">
      <c r="A126" s="3" t="s">
        <v>53</v>
      </c>
      <c r="B126" s="3">
        <v>5</v>
      </c>
      <c r="C126" s="3">
        <v>196</v>
      </c>
      <c r="D126" t="str" cm="1">
        <f t="array" aca="1" ref="D126" ca="1">IF(COUNTIF(Star_San_Juan,_xlfn.MODE.MULT(Star_San_Juan))=COUNT(Star_San_Juan),INDEX($D$6:$D$9,RANDBETWEEN(1,COUNTA($D$6:$D$9))),_xlfn.IFS(AND(C126&gt;=50,C126&lt;100),$D$6,AND(C126&gt;=100,C126&lt;150),$D$7,AND(C126&gt;=150,C126&lt;200),$D$8,AND(C126&gt;=200,C126&lt;300),$D$9))</f>
        <v>STREAMING PARANORMAL</v>
      </c>
      <c r="E126" s="4" t="str">
        <f t="shared" ca="1" si="62"/>
        <v>TERROR</v>
      </c>
      <c r="F126" s="4">
        <f t="shared" ca="1" si="63"/>
        <v>7.7777777777777779E-2</v>
      </c>
      <c r="G126" s="4" t="str" cm="1">
        <f t="array" aca="1" ref="G126" ca="1">_xlfn.IFS(D126=$D$6,"Doblada",D126=$D$7,"Doblada Vibrosound",D126=$D$8,"Doblada Proyección Láser",D126=$D$9,"Subtitulada Vibrosound Proyección Láser")</f>
        <v>Doblada Proyección Láser</v>
      </c>
      <c r="H126" s="7">
        <f t="shared" ca="1" si="58"/>
        <v>0.45833333333333331</v>
      </c>
      <c r="I126" s="7">
        <f t="shared" ref="I126:L126" ca="1" si="104">CEILING(H126+$F126,"0:10")</f>
        <v>0.54166666666666663</v>
      </c>
      <c r="J126" s="7">
        <f t="shared" ca="1" si="104"/>
        <v>0.625</v>
      </c>
      <c r="K126" s="7">
        <f t="shared" ca="1" si="104"/>
        <v>0.70833333333333326</v>
      </c>
      <c r="L126" s="7">
        <f t="shared" ca="1" si="104"/>
        <v>0.79166666666666663</v>
      </c>
      <c r="M126" s="6">
        <f t="shared" ca="1" si="65"/>
        <v>5</v>
      </c>
      <c r="N126" t="str">
        <f t="shared" ca="1" si="66"/>
        <v>JÓVENES / ADULTOS</v>
      </c>
    </row>
    <row r="127" spans="1:14" x14ac:dyDescent="0.3">
      <c r="A127" s="3" t="s">
        <v>53</v>
      </c>
      <c r="B127" s="3">
        <v>6</v>
      </c>
      <c r="C127" s="3">
        <v>196</v>
      </c>
      <c r="D127" t="str" cm="1">
        <f t="array" aca="1" ref="D127" ca="1">IF(COUNTIF(Star_San_Juan,_xlfn.MODE.MULT(Star_San_Juan))=COUNT(Star_San_Juan),INDEX($D$6:$D$9,RANDBETWEEN(1,COUNTA($D$6:$D$9))),_xlfn.IFS(AND(C127&gt;=50,C127&lt;100),$D$6,AND(C127&gt;=100,C127&lt;150),$D$7,AND(C127&gt;=150,C127&lt;200),$D$8,AND(C127&gt;=200,C127&lt;300),$D$9))</f>
        <v>STREAMING PARANORMAL</v>
      </c>
      <c r="E127" s="4" t="str">
        <f t="shared" ca="1" si="62"/>
        <v>TERROR</v>
      </c>
      <c r="F127" s="4">
        <f t="shared" ca="1" si="63"/>
        <v>7.7777777777777779E-2</v>
      </c>
      <c r="G127" s="4" t="str" cm="1">
        <f t="array" aca="1" ref="G127" ca="1">_xlfn.IFS(D127=$D$6,"Doblada",D127=$D$7,"Doblada Vibrosound",D127=$D$8,"Doblada Proyección Láser",D127=$D$9,"Subtitulada Vibrosound Proyección Láser")</f>
        <v>Doblada Proyección Láser</v>
      </c>
      <c r="H127" s="7">
        <f t="shared" ca="1" si="58"/>
        <v>0.45833333333333331</v>
      </c>
      <c r="I127" s="7">
        <f t="shared" ref="I127:L127" ca="1" si="105">CEILING(H127+$F127,"0:10")</f>
        <v>0.54166666666666663</v>
      </c>
      <c r="J127" s="7">
        <f t="shared" ca="1" si="105"/>
        <v>0.625</v>
      </c>
      <c r="K127" s="7">
        <f t="shared" ca="1" si="105"/>
        <v>0.70833333333333326</v>
      </c>
      <c r="L127" s="7">
        <f t="shared" ca="1" si="105"/>
        <v>0.79166666666666663</v>
      </c>
      <c r="M127" s="6">
        <f t="shared" ca="1" si="65"/>
        <v>5</v>
      </c>
      <c r="N127" t="str">
        <f t="shared" ca="1" si="66"/>
        <v>JÓVENES / ADULTOS</v>
      </c>
    </row>
    <row r="128" spans="1:14" x14ac:dyDescent="0.3">
      <c r="A128" s="3" t="s">
        <v>53</v>
      </c>
      <c r="B128" s="3">
        <v>7</v>
      </c>
      <c r="C128" s="3">
        <v>224</v>
      </c>
      <c r="D128" t="str" cm="1">
        <f t="array" aca="1" ref="D128" ca="1">IF(COUNTIF(Star_San_Juan,_xlfn.MODE.MULT(Star_San_Juan))=COUNT(Star_San_Juan),INDEX($D$6:$D$9,RANDBETWEEN(1,COUNTA($D$6:$D$9))),_xlfn.IFS(AND(C128&gt;=50,C128&lt;100),$D$6,AND(C128&gt;=100,C128&lt;150),$D$7,AND(C128&gt;=150,C128&lt;200),$D$8,AND(C128&gt;=200,C128&lt;300),$D$9))</f>
        <v>MARTY SUPREMO</v>
      </c>
      <c r="E128" s="4" t="str">
        <f t="shared" ca="1" si="62"/>
        <v>DRAMA</v>
      </c>
      <c r="F128" s="4">
        <f t="shared" ca="1" si="63"/>
        <v>0.11805555555555557</v>
      </c>
      <c r="G128" s="4" t="str" cm="1">
        <f t="array" aca="1" ref="G128" ca="1">_xlfn.IFS(D128=$D$6,"Doblada",D128=$D$7,"Doblada Vibrosound",D128=$D$8,"Doblada Proyección Láser",D128=$D$9,"Subtitulada Vibrosound Proyección Láser")</f>
        <v>Subtitulada Vibrosound Proyección Láser</v>
      </c>
      <c r="H128" s="7">
        <f t="shared" ca="1" si="58"/>
        <v>0.45833333333333331</v>
      </c>
      <c r="I128" s="7">
        <f t="shared" ref="I128:L128" ca="1" si="106">CEILING(H128+$F128,"0:10")</f>
        <v>0.57638888888888884</v>
      </c>
      <c r="J128" s="7">
        <f t="shared" ca="1" si="106"/>
        <v>0.69444444444444442</v>
      </c>
      <c r="K128" s="7">
        <f t="shared" ca="1" si="106"/>
        <v>0.8125</v>
      </c>
      <c r="L128" s="7">
        <f t="shared" ca="1" si="106"/>
        <v>0.93055555555555547</v>
      </c>
      <c r="M128" s="6">
        <f t="shared" ca="1" si="65"/>
        <v>5</v>
      </c>
      <c r="N128" t="str">
        <f t="shared" ca="1" si="66"/>
        <v>ADULTOS</v>
      </c>
    </row>
    <row r="129" spans="1:14" x14ac:dyDescent="0.3">
      <c r="E129" s="4"/>
      <c r="F129" s="4"/>
      <c r="G129" s="4"/>
      <c r="H129" s="7"/>
      <c r="I129" s="7"/>
      <c r="J129" s="7"/>
      <c r="K129" s="7"/>
      <c r="L129" s="7"/>
      <c r="M129" s="6"/>
    </row>
    <row r="130" spans="1:14" x14ac:dyDescent="0.3">
      <c r="A130" s="3" t="s">
        <v>54</v>
      </c>
      <c r="B130" s="3">
        <v>1</v>
      </c>
      <c r="C130" s="3">
        <v>271</v>
      </c>
      <c r="D130" t="str" cm="1">
        <f t="array" aca="1" ref="D130" ca="1">IF(COUNTIF(Star_Chosica,_xlfn.MODE.MULT(Star_Chosica))=COUNT(Star_Chosica),INDEX($D$6:$D$9,RANDBETWEEN(1,COUNTA($D$6:$D$9))),_xlfn.IFS(AND(C130&gt;=50,C130&lt;100),$D$6,AND(C130&gt;=100,C130&lt;150),$D$7,AND(C130&gt;=150,C130&lt;200),$D$8,AND(C130&gt;=200,C130&lt;300),$D$9))</f>
        <v>ALERTA EXTINCIÓN</v>
      </c>
      <c r="E130" s="4" t="str">
        <f t="shared" ca="1" si="62"/>
        <v>ACCIÓN / COMEDIA</v>
      </c>
      <c r="F130" s="4">
        <f t="shared" ca="1" si="63"/>
        <v>8.2638888888888901E-2</v>
      </c>
      <c r="G130" s="4" t="str" cm="1">
        <f t="array" aca="1" ref="G130" ca="1">_xlfn.IFS(D130=$D$6,"Doblada",D130=$D$7,"Doblada Vibrosound",D130=$D$8,"Doblada Proyección Láser",D130=$D$9,"Subtitulada Vibrosound Proyección Láser")</f>
        <v>Doblada Vibrosound</v>
      </c>
      <c r="H130" s="7">
        <f t="shared" ca="1" si="58"/>
        <v>0.45833333333333331</v>
      </c>
      <c r="I130" s="7">
        <f t="shared" ref="I130:L130" ca="1" si="107">CEILING(H130+$F130,"0:10")</f>
        <v>0.54166666666666663</v>
      </c>
      <c r="J130" s="7">
        <f t="shared" ca="1" si="107"/>
        <v>0.625</v>
      </c>
      <c r="K130" s="7">
        <f t="shared" ca="1" si="107"/>
        <v>0.70833333333333326</v>
      </c>
      <c r="L130" s="7">
        <f t="shared" ca="1" si="107"/>
        <v>0.79166666666666663</v>
      </c>
      <c r="M130" s="6">
        <f t="shared" ca="1" si="65"/>
        <v>5</v>
      </c>
      <c r="N130" t="str">
        <f t="shared" ca="1" si="66"/>
        <v>JÓVENES / ADULTOS</v>
      </c>
    </row>
    <row r="131" spans="1:14" x14ac:dyDescent="0.3">
      <c r="A131" s="3" t="s">
        <v>54</v>
      </c>
      <c r="B131" s="3">
        <v>2</v>
      </c>
      <c r="C131" s="3">
        <v>271</v>
      </c>
      <c r="D131" t="str" cm="1">
        <f t="array" aca="1" ref="D131" ca="1">IF(COUNTIF(Star_Chosica,_xlfn.MODE.MULT(Star_Chosica))=COUNT(Star_Chosica),INDEX($D$6:$D$9,RANDBETWEEN(1,COUNTA($D$6:$D$9))),_xlfn.IFS(AND(C131&gt;=50,C131&lt;100),$D$6,AND(C131&gt;=100,C131&lt;150),$D$7,AND(C131&gt;=150,C131&lt;200),$D$8,AND(C131&gt;=200,C131&lt;300),$D$9))</f>
        <v>MARTY SUPREMO</v>
      </c>
      <c r="E131" s="4" t="str">
        <f t="shared" ca="1" si="62"/>
        <v>DRAMA</v>
      </c>
      <c r="F131" s="4">
        <f t="shared" ca="1" si="63"/>
        <v>0.11805555555555557</v>
      </c>
      <c r="G131" s="4" t="str" cm="1">
        <f t="array" aca="1" ref="G131" ca="1">_xlfn.IFS(D131=$D$6,"Doblada",D131=$D$7,"Doblada Vibrosound",D131=$D$8,"Doblada Proyección Láser",D131=$D$9,"Subtitulada Vibrosound Proyección Láser")</f>
        <v>Subtitulada Vibrosound Proyección Láser</v>
      </c>
      <c r="H131" s="7">
        <f t="shared" ca="1" si="58"/>
        <v>0.45833333333333331</v>
      </c>
      <c r="I131" s="7">
        <f t="shared" ref="I131:L131" ca="1" si="108">CEILING(H131+$F131,"0:10")</f>
        <v>0.57638888888888884</v>
      </c>
      <c r="J131" s="7">
        <f t="shared" ca="1" si="108"/>
        <v>0.69444444444444442</v>
      </c>
      <c r="K131" s="7">
        <f t="shared" ca="1" si="108"/>
        <v>0.8125</v>
      </c>
      <c r="L131" s="7">
        <f t="shared" ca="1" si="108"/>
        <v>0.93055555555555547</v>
      </c>
      <c r="M131" s="6">
        <f t="shared" ca="1" si="65"/>
        <v>5</v>
      </c>
      <c r="N131" t="str">
        <f t="shared" ca="1" si="66"/>
        <v>ADULTOS</v>
      </c>
    </row>
    <row r="132" spans="1:14" x14ac:dyDescent="0.3">
      <c r="A132" s="3" t="s">
        <v>54</v>
      </c>
      <c r="B132" s="3">
        <v>3</v>
      </c>
      <c r="C132" s="3">
        <v>271</v>
      </c>
      <c r="D132" t="str" cm="1">
        <f t="array" aca="1" ref="D132" ca="1">IF(COUNTIF(Star_Chosica,_xlfn.MODE.MULT(Star_Chosica))=COUNT(Star_Chosica),INDEX($D$6:$D$9,RANDBETWEEN(1,COUNTA($D$6:$D$9))),_xlfn.IFS(AND(C132&gt;=50,C132&lt;100),$D$6,AND(C132&gt;=100,C132&lt;150),$D$7,AND(C132&gt;=150,C132&lt;200),$D$8,AND(C132&gt;=200,C132&lt;300),$D$9))</f>
        <v>ALERTA EXTINCIÓN</v>
      </c>
      <c r="E132" s="4" t="str">
        <f t="shared" ca="1" si="62"/>
        <v>ACCIÓN / COMEDIA</v>
      </c>
      <c r="F132" s="4">
        <f t="shared" ca="1" si="63"/>
        <v>8.2638888888888901E-2</v>
      </c>
      <c r="G132" s="4" t="str" cm="1">
        <f t="array" aca="1" ref="G132" ca="1">_xlfn.IFS(D132=$D$6,"Doblada",D132=$D$7,"Doblada Vibrosound",D132=$D$8,"Doblada Proyección Láser",D132=$D$9,"Subtitulada Vibrosound Proyección Láser")</f>
        <v>Doblada Vibrosound</v>
      </c>
      <c r="H132" s="7">
        <f t="shared" ca="1" si="58"/>
        <v>0.45833333333333331</v>
      </c>
      <c r="I132" s="7">
        <f t="shared" ref="I132:L132" ca="1" si="109">CEILING(H132+$F132,"0:10")</f>
        <v>0.54166666666666663</v>
      </c>
      <c r="J132" s="7">
        <f t="shared" ca="1" si="109"/>
        <v>0.625</v>
      </c>
      <c r="K132" s="7">
        <f t="shared" ca="1" si="109"/>
        <v>0.70833333333333326</v>
      </c>
      <c r="L132" s="7">
        <f t="shared" ca="1" si="109"/>
        <v>0.79166666666666663</v>
      </c>
      <c r="M132" s="6">
        <f t="shared" ca="1" si="65"/>
        <v>5</v>
      </c>
      <c r="N132" t="str">
        <f t="shared" ca="1" si="66"/>
        <v>JÓVENES / ADULTOS</v>
      </c>
    </row>
    <row r="133" spans="1:14" x14ac:dyDescent="0.3">
      <c r="E133" s="4"/>
      <c r="F133" s="4"/>
      <c r="G133" s="4"/>
      <c r="H133" s="7"/>
      <c r="I133" s="7"/>
      <c r="J133" s="7"/>
      <c r="K133" s="7"/>
      <c r="L133" s="7"/>
      <c r="M133" s="6"/>
    </row>
    <row r="134" spans="1:14" x14ac:dyDescent="0.3">
      <c r="A134" s="3" t="s">
        <v>55</v>
      </c>
      <c r="B134" s="3">
        <v>1</v>
      </c>
      <c r="C134" s="3">
        <v>150</v>
      </c>
      <c r="D134" t="str" cm="1">
        <f t="array" aca="1" ref="D134" ca="1">IF(COUNTIF(Star_Porteño,_xlfn.MODE.MULT(Star_Porteño))=COUNT(Star_Porteño),INDEX($D$6:$D$9,RANDBETWEEN(1,COUNTA($D$6:$D$9))),_xlfn.IFS(AND(C134&gt;=50,C134&lt;100),$D$6,AND(C134&gt;=100,C134&lt;150),$D$7,AND(C134&gt;=150,C134&lt;200),$D$8,AND(C134&gt;=200,C134&lt;300),$D$9))</f>
        <v>STREAMING PARANORMAL</v>
      </c>
      <c r="E134" s="4" t="str">
        <f t="shared" ca="1" si="62"/>
        <v>TERROR</v>
      </c>
      <c r="F134" s="4">
        <f t="shared" ca="1" si="63"/>
        <v>7.7777777777777779E-2</v>
      </c>
      <c r="G134" s="4" t="str" cm="1">
        <f t="array" aca="1" ref="G134" ca="1">_xlfn.IFS(D134=$D$6,"Doblada",D134=$D$7,"Doblada Vibrosound",D134=$D$8,"Doblada Proyección Láser",D134=$D$9,"Subtitulada Vibrosound Proyección Láser")</f>
        <v>Doblada Proyección Láser</v>
      </c>
      <c r="H134" s="7">
        <f t="shared" ca="1" si="58"/>
        <v>0.45833333333333331</v>
      </c>
      <c r="I134" s="7">
        <f t="shared" ref="I134:L134" ca="1" si="110">CEILING(H134+$F134,"0:10")</f>
        <v>0.54166666666666663</v>
      </c>
      <c r="J134" s="7">
        <f t="shared" ca="1" si="110"/>
        <v>0.625</v>
      </c>
      <c r="K134" s="7">
        <f t="shared" ca="1" si="110"/>
        <v>0.70833333333333326</v>
      </c>
      <c r="L134" s="7">
        <f t="shared" ca="1" si="110"/>
        <v>0.79166666666666663</v>
      </c>
      <c r="M134" s="6">
        <f t="shared" ca="1" si="65"/>
        <v>5</v>
      </c>
      <c r="N134" t="str">
        <f t="shared" ca="1" si="66"/>
        <v>JÓVENES / ADULTOS</v>
      </c>
    </row>
    <row r="135" spans="1:14" x14ac:dyDescent="0.3">
      <c r="A135" s="3" t="s">
        <v>55</v>
      </c>
      <c r="B135" s="3">
        <v>2</v>
      </c>
      <c r="C135" s="3">
        <v>258</v>
      </c>
      <c r="D135" t="str" cm="1">
        <f t="array" aca="1" ref="D135" ca="1">IF(COUNTIF(Star_Porteño,_xlfn.MODE.MULT(Star_Porteño))=COUNT(Star_Porteño),INDEX($D$6:$D$9,RANDBETWEEN(1,COUNTA($D$6:$D$9))),_xlfn.IFS(AND(C135&gt;=50,C135&lt;100),$D$6,AND(C135&gt;=100,C135&lt;150),$D$7,AND(C135&gt;=150,C135&lt;200),$D$8,AND(C135&gt;=200,C135&lt;300),$D$9))</f>
        <v>MARTY SUPREMO</v>
      </c>
      <c r="E135" s="4" t="str">
        <f t="shared" ca="1" si="62"/>
        <v>DRAMA</v>
      </c>
      <c r="F135" s="4">
        <f t="shared" ca="1" si="63"/>
        <v>0.11805555555555557</v>
      </c>
      <c r="G135" s="4" t="str" cm="1">
        <f t="array" aca="1" ref="G135" ca="1">_xlfn.IFS(D135=$D$6,"Doblada",D135=$D$7,"Doblada Vibrosound",D135=$D$8,"Doblada Proyección Láser",D135=$D$9,"Subtitulada Vibrosound Proyección Láser")</f>
        <v>Subtitulada Vibrosound Proyección Láser</v>
      </c>
      <c r="H135" s="7">
        <f t="shared" ca="1" si="58"/>
        <v>0.45833333333333331</v>
      </c>
      <c r="I135" s="7">
        <f t="shared" ref="I135:L135" ca="1" si="111">CEILING(H135+$F135,"0:10")</f>
        <v>0.57638888888888884</v>
      </c>
      <c r="J135" s="7">
        <f t="shared" ca="1" si="111"/>
        <v>0.69444444444444442</v>
      </c>
      <c r="K135" s="7">
        <f t="shared" ca="1" si="111"/>
        <v>0.8125</v>
      </c>
      <c r="L135" s="7">
        <f t="shared" ca="1" si="111"/>
        <v>0.93055555555555547</v>
      </c>
      <c r="M135" s="6">
        <f t="shared" ca="1" si="65"/>
        <v>5</v>
      </c>
      <c r="N135" t="str">
        <f t="shared" ca="1" si="66"/>
        <v>ADULTOS</v>
      </c>
    </row>
    <row r="136" spans="1:14" x14ac:dyDescent="0.3">
      <c r="A136" s="3" t="s">
        <v>55</v>
      </c>
      <c r="B136" s="3">
        <v>3</v>
      </c>
      <c r="C136" s="3">
        <v>182</v>
      </c>
      <c r="D136" t="str" cm="1">
        <f t="array" aca="1" ref="D136" ca="1">IF(COUNTIF(Star_Porteño,_xlfn.MODE.MULT(Star_Porteño))=COUNT(Star_Porteño),INDEX($D$6:$D$9,RANDBETWEEN(1,COUNTA($D$6:$D$9))),_xlfn.IFS(AND(C136&gt;=50,C136&lt;100),$D$6,AND(C136&gt;=100,C136&lt;150),$D$7,AND(C136&gt;=150,C136&lt;200),$D$8,AND(C136&gt;=200,C136&lt;300),$D$9))</f>
        <v>STREAMING PARANORMAL</v>
      </c>
      <c r="E136" s="4" t="str">
        <f t="shared" ca="1" si="62"/>
        <v>TERROR</v>
      </c>
      <c r="F136" s="4">
        <f t="shared" ca="1" si="63"/>
        <v>7.7777777777777779E-2</v>
      </c>
      <c r="G136" s="4" t="str" cm="1">
        <f t="array" aca="1" ref="G136" ca="1">_xlfn.IFS(D136=$D$6,"Doblada",D136=$D$7,"Doblada Vibrosound",D136=$D$8,"Doblada Proyección Láser",D136=$D$9,"Subtitulada Vibrosound Proyección Láser")</f>
        <v>Doblada Proyección Láser</v>
      </c>
      <c r="H136" s="7">
        <f t="shared" ca="1" si="58"/>
        <v>0.45833333333333331</v>
      </c>
      <c r="I136" s="7">
        <f t="shared" ref="I136:L136" ca="1" si="112">CEILING(H136+$F136,"0:10")</f>
        <v>0.54166666666666663</v>
      </c>
      <c r="J136" s="7">
        <f t="shared" ca="1" si="112"/>
        <v>0.625</v>
      </c>
      <c r="K136" s="7">
        <f t="shared" ca="1" si="112"/>
        <v>0.70833333333333326</v>
      </c>
      <c r="L136" s="7">
        <f t="shared" ca="1" si="112"/>
        <v>0.79166666666666663</v>
      </c>
      <c r="M136" s="6">
        <f t="shared" ca="1" si="65"/>
        <v>5</v>
      </c>
      <c r="N136" t="str">
        <f t="shared" ca="1" si="66"/>
        <v>JÓVENES / ADULTOS</v>
      </c>
    </row>
    <row r="137" spans="1:14" x14ac:dyDescent="0.3">
      <c r="E137" s="4"/>
      <c r="F137" s="4"/>
      <c r="G137" s="4"/>
      <c r="H137" s="7">
        <f t="shared" si="58"/>
        <v>0.45833333333333331</v>
      </c>
      <c r="I137" s="7"/>
      <c r="J137" s="7"/>
      <c r="K137" s="7"/>
      <c r="L137" s="7"/>
      <c r="M137" s="6"/>
    </row>
    <row r="138" spans="1:14" x14ac:dyDescent="0.3">
      <c r="A138" s="3" t="s">
        <v>56</v>
      </c>
      <c r="B138" s="3">
        <v>1</v>
      </c>
      <c r="C138" s="3">
        <v>268</v>
      </c>
      <c r="D138" t="str" cm="1">
        <f t="array" aca="1" ref="D138" ca="1">IF(COUNTIF(Star_Moquegua,_xlfn.MODE.MULT(Star_Moquegua))=COUNT(Star_Moquegua),INDEX($D$6:$D$9,RANDBETWEEN(1,COUNTA($D$6:$D$9))),_xlfn.IFS(AND(C138&gt;=50,C138&lt;100),$D$6,AND(C138&gt;=100,C138&lt;150),$D$7,AND(C138&gt;=150,C138&lt;200),$D$8,AND(C138&gt;=200,C138&lt;300),$D$9))</f>
        <v>MARTY SUPREMO</v>
      </c>
      <c r="E138" s="4" t="str">
        <f t="shared" ca="1" si="62"/>
        <v>DRAMA</v>
      </c>
      <c r="F138" s="4">
        <f t="shared" ca="1" si="63"/>
        <v>0.11805555555555557</v>
      </c>
      <c r="G138" s="4" t="str" cm="1">
        <f t="array" aca="1" ref="G138" ca="1">_xlfn.IFS(D138=$D$6,"Doblada",D138=$D$7,"Doblada Vibrosound",D138=$D$8,"Doblada Proyección Láser",D138=$D$9,"Subtitulada Vibrosound Proyección Láser")</f>
        <v>Subtitulada Vibrosound Proyección Láser</v>
      </c>
      <c r="H138" s="7">
        <f t="shared" ca="1" si="58"/>
        <v>0.45833333333333331</v>
      </c>
      <c r="I138" s="7">
        <f t="shared" ref="I138:L138" ca="1" si="113">CEILING(H138+$F138,"0:10")</f>
        <v>0.57638888888888884</v>
      </c>
      <c r="J138" s="7">
        <f t="shared" ca="1" si="113"/>
        <v>0.69444444444444442</v>
      </c>
      <c r="K138" s="7">
        <f t="shared" ca="1" si="113"/>
        <v>0.8125</v>
      </c>
      <c r="L138" s="7">
        <f t="shared" ca="1" si="113"/>
        <v>0.93055555555555547</v>
      </c>
      <c r="M138" s="6">
        <f t="shared" ca="1" si="65"/>
        <v>5</v>
      </c>
      <c r="N138" t="str">
        <f t="shared" ca="1" si="66"/>
        <v>ADULTOS</v>
      </c>
    </row>
    <row r="139" spans="1:14" x14ac:dyDescent="0.3">
      <c r="A139" s="3" t="s">
        <v>56</v>
      </c>
      <c r="B139" s="3">
        <v>2</v>
      </c>
      <c r="C139" s="3">
        <v>268</v>
      </c>
      <c r="D139" t="str" cm="1">
        <f t="array" aca="1" ref="D139" ca="1">IF(COUNTIF(Star_Moquegua,_xlfn.MODE.MULT(Star_Moquegua))=COUNT(Star_Moquegua),INDEX($D$6:$D$9,RANDBETWEEN(1,COUNTA($D$6:$D$9))),_xlfn.IFS(AND(C139&gt;=50,C139&lt;100),$D$6,AND(C139&gt;=100,C139&lt;150),$D$7,AND(C139&gt;=150,C139&lt;200),$D$8,AND(C139&gt;=200,C139&lt;300),$D$9))</f>
        <v>MARTY SUPREMO</v>
      </c>
      <c r="E139" s="4" t="str">
        <f t="shared" ca="1" si="62"/>
        <v>DRAMA</v>
      </c>
      <c r="F139" s="4">
        <f t="shared" ca="1" si="63"/>
        <v>0.11805555555555557</v>
      </c>
      <c r="G139" s="4" t="str" cm="1">
        <f t="array" aca="1" ref="G139" ca="1">_xlfn.IFS(D139=$D$6,"Doblada",D139=$D$7,"Doblada Vibrosound",D139=$D$8,"Doblada Proyección Láser",D139=$D$9,"Subtitulada Vibrosound Proyección Láser")</f>
        <v>Subtitulada Vibrosound Proyección Láser</v>
      </c>
      <c r="H139" s="7">
        <f t="shared" ca="1" si="58"/>
        <v>0.45833333333333331</v>
      </c>
      <c r="I139" s="7">
        <f t="shared" ref="I139:L139" ca="1" si="114">CEILING(H139+$F139,"0:10")</f>
        <v>0.57638888888888884</v>
      </c>
      <c r="J139" s="7">
        <f t="shared" ca="1" si="114"/>
        <v>0.69444444444444442</v>
      </c>
      <c r="K139" s="7">
        <f t="shared" ca="1" si="114"/>
        <v>0.8125</v>
      </c>
      <c r="L139" s="7">
        <f t="shared" ca="1" si="114"/>
        <v>0.93055555555555547</v>
      </c>
      <c r="M139" s="6">
        <f t="shared" ca="1" si="65"/>
        <v>5</v>
      </c>
      <c r="N139" t="str">
        <f t="shared" ca="1" si="66"/>
        <v>ADULTOS</v>
      </c>
    </row>
    <row r="140" spans="1:14" x14ac:dyDescent="0.3">
      <c r="A140" s="3" t="s">
        <v>56</v>
      </c>
      <c r="B140" s="3">
        <v>3</v>
      </c>
      <c r="C140" s="3">
        <v>268</v>
      </c>
      <c r="D140" t="str" cm="1">
        <f t="array" aca="1" ref="D140" ca="1">IF(COUNTIF(Star_Moquegua,_xlfn.MODE.MULT(Star_Moquegua))=COUNT(Star_Moquegua),INDEX($D$6:$D$9,RANDBETWEEN(1,COUNTA($D$6:$D$9))),_xlfn.IFS(AND(C140&gt;=50,C140&lt;100),$D$6,AND(C140&gt;=100,C140&lt;150),$D$7,AND(C140&gt;=150,C140&lt;200),$D$8,AND(C140&gt;=200,C140&lt;300),$D$9))</f>
        <v>ALERTA EXTINCIÓN</v>
      </c>
      <c r="E140" s="4" t="str">
        <f t="shared" ca="1" si="62"/>
        <v>ACCIÓN / COMEDIA</v>
      </c>
      <c r="F140" s="4">
        <f t="shared" ca="1" si="63"/>
        <v>8.2638888888888901E-2</v>
      </c>
      <c r="G140" s="4" t="str" cm="1">
        <f t="array" aca="1" ref="G140" ca="1">_xlfn.IFS(D140=$D$6,"Doblada",D140=$D$7,"Doblada Vibrosound",D140=$D$8,"Doblada Proyección Láser",D140=$D$9,"Subtitulada Vibrosound Proyección Láser")</f>
        <v>Doblada Vibrosound</v>
      </c>
      <c r="H140" s="7">
        <f t="shared" ca="1" si="58"/>
        <v>0.45833333333333331</v>
      </c>
      <c r="I140" s="7">
        <f t="shared" ref="I140:L140" ca="1" si="115">CEILING(H140+$F140,"0:10")</f>
        <v>0.54166666666666663</v>
      </c>
      <c r="J140" s="7">
        <f t="shared" ca="1" si="115"/>
        <v>0.625</v>
      </c>
      <c r="K140" s="7">
        <f t="shared" ca="1" si="115"/>
        <v>0.70833333333333326</v>
      </c>
      <c r="L140" s="7">
        <f t="shared" ca="1" si="115"/>
        <v>0.79166666666666663</v>
      </c>
      <c r="M140" s="6">
        <f t="shared" ca="1" si="65"/>
        <v>5</v>
      </c>
      <c r="N140" t="str">
        <f t="shared" ca="1" si="66"/>
        <v>JÓVENES / ADULTOS</v>
      </c>
    </row>
    <row r="141" spans="1:14" x14ac:dyDescent="0.3">
      <c r="E141" s="4"/>
      <c r="F141" s="4"/>
      <c r="G141" s="4"/>
      <c r="H141" s="7"/>
      <c r="I141" s="7"/>
      <c r="J141" s="7"/>
      <c r="K141" s="7"/>
      <c r="L141" s="7"/>
      <c r="M141" s="6"/>
    </row>
    <row r="142" spans="1:14" x14ac:dyDescent="0.3">
      <c r="A142" s="3" t="s">
        <v>57</v>
      </c>
      <c r="B142" s="3">
        <v>1</v>
      </c>
      <c r="C142" s="3">
        <v>196</v>
      </c>
      <c r="D142" t="str" cm="1">
        <f t="array" aca="1" ref="D142" ca="1">IF(COUNTIF(Star_Ilo,_xlfn.MODE.MULT(Star_Ilo))=COUNT(Star_Ilo),INDEX($D$6:$D$9,RANDBETWEEN(1,COUNTA($D$6:$D$9))),_xlfn.IFS(AND(C142&gt;=50,C142&lt;100),$D$6,AND(C142&gt;=100,C142&lt;150),$D$7,AND(C142&gt;=150,C142&lt;200),$D$8,AND(C142&gt;=200,C142&lt;300),$D$9))</f>
        <v>STREAMING PARANORMAL</v>
      </c>
      <c r="E142" s="4" t="str">
        <f t="shared" ca="1" si="62"/>
        <v>TERROR</v>
      </c>
      <c r="F142" s="4">
        <f t="shared" ca="1" si="63"/>
        <v>7.7777777777777779E-2</v>
      </c>
      <c r="G142" s="4" t="str" cm="1">
        <f t="array" aca="1" ref="G142" ca="1">_xlfn.IFS(D142=$D$6,"Doblada",D142=$D$7,"Doblada Vibrosound",D142=$D$8,"Doblada Proyección Láser",D142=$D$9,"Subtitulada Vibrosound Proyección Láser")</f>
        <v>Doblada Proyección Láser</v>
      </c>
      <c r="H142" s="7">
        <f t="shared" ref="H142:H167" ca="1" si="116">TIME(
    IF(ISNUMBER(SEARCH("FAMILIAR", E142)), 10, 11) + IF(OR(ISNUMBER(SEARCH("IQUITOS", A142)), ISNUMBER(SEARCH("TARAPOTO", A142)), ISNUMBER(SEARCH("TINGO", A142)), ISNUMBER(SEARCH("JAEN", A142))), 1, 0),
    IF(ISNUMBER(SEARCH("FAMILIAR", E142)), 30, 0),
    0
)</f>
        <v>0.45833333333333331</v>
      </c>
      <c r="I142" s="7">
        <f t="shared" ref="I142:L142" ca="1" si="117">CEILING(H142+$F142,"0:10")</f>
        <v>0.54166666666666663</v>
      </c>
      <c r="J142" s="7">
        <f t="shared" ca="1" si="117"/>
        <v>0.625</v>
      </c>
      <c r="K142" s="7">
        <f t="shared" ca="1" si="117"/>
        <v>0.70833333333333326</v>
      </c>
      <c r="L142" s="7">
        <f t="shared" ca="1" si="117"/>
        <v>0.79166666666666663</v>
      </c>
      <c r="M142" s="6">
        <f t="shared" ca="1" si="65"/>
        <v>5</v>
      </c>
      <c r="N142" t="str">
        <f t="shared" ca="1" si="66"/>
        <v>JÓVENES / ADULTOS</v>
      </c>
    </row>
    <row r="143" spans="1:14" x14ac:dyDescent="0.3">
      <c r="A143" s="3" t="s">
        <v>57</v>
      </c>
      <c r="B143" s="3">
        <v>2</v>
      </c>
      <c r="C143" s="3">
        <v>181</v>
      </c>
      <c r="D143" t="str" cm="1">
        <f t="array" aca="1" ref="D143" ca="1">IF(COUNTIF(Star_Ilo,_xlfn.MODE.MULT(Star_Ilo))=COUNT(Star_Ilo),INDEX($D$6:$D$9,RANDBETWEEN(1,COUNTA($D$6:$D$9))),_xlfn.IFS(AND(C143&gt;=50,C143&lt;100),$D$6,AND(C143&gt;=100,C143&lt;150),$D$7,AND(C143&gt;=150,C143&lt;200),$D$8,AND(C143&gt;=200,C143&lt;300),$D$9))</f>
        <v>STREAMING PARANORMAL</v>
      </c>
      <c r="E143" s="4" t="str">
        <f t="shared" ca="1" si="62"/>
        <v>TERROR</v>
      </c>
      <c r="F143" s="4">
        <f t="shared" ca="1" si="63"/>
        <v>7.7777777777777779E-2</v>
      </c>
      <c r="G143" s="4" t="str" cm="1">
        <f t="array" aca="1" ref="G143" ca="1">_xlfn.IFS(D143=$D$6,"Doblada",D143=$D$7,"Doblada Vibrosound",D143=$D$8,"Doblada Proyección Láser",D143=$D$9,"Subtitulada Vibrosound Proyección Láser")</f>
        <v>Doblada Proyección Láser</v>
      </c>
      <c r="H143" s="7">
        <f t="shared" ca="1" si="116"/>
        <v>0.45833333333333331</v>
      </c>
      <c r="I143" s="7">
        <f t="shared" ref="I143:L143" ca="1" si="118">CEILING(H143+$F143,"0:10")</f>
        <v>0.54166666666666663</v>
      </c>
      <c r="J143" s="7">
        <f t="shared" ca="1" si="118"/>
        <v>0.625</v>
      </c>
      <c r="K143" s="7">
        <f t="shared" ca="1" si="118"/>
        <v>0.70833333333333326</v>
      </c>
      <c r="L143" s="7">
        <f t="shared" ca="1" si="118"/>
        <v>0.79166666666666663</v>
      </c>
      <c r="M143" s="6">
        <f t="shared" ca="1" si="65"/>
        <v>5</v>
      </c>
      <c r="N143" t="str">
        <f t="shared" ca="1" si="66"/>
        <v>JÓVENES / ADULTOS</v>
      </c>
    </row>
    <row r="144" spans="1:14" x14ac:dyDescent="0.3">
      <c r="A144" s="3" t="s">
        <v>57</v>
      </c>
      <c r="B144" s="3">
        <v>3</v>
      </c>
      <c r="C144" s="3">
        <v>181</v>
      </c>
      <c r="D144" t="str" cm="1">
        <f t="array" aca="1" ref="D144" ca="1">IF(COUNTIF(Star_Ilo,_xlfn.MODE.MULT(Star_Ilo))=COUNT(Star_Ilo),INDEX($D$6:$D$9,RANDBETWEEN(1,COUNTA($D$6:$D$9))),_xlfn.IFS(AND(C144&gt;=50,C144&lt;100),$D$6,AND(C144&gt;=100,C144&lt;150),$D$7,AND(C144&gt;=150,C144&lt;200),$D$8,AND(C144&gt;=200,C144&lt;300),$D$9))</f>
        <v>STREAMING PARANORMAL</v>
      </c>
      <c r="E144" s="4" t="str">
        <f t="shared" ca="1" si="62"/>
        <v>TERROR</v>
      </c>
      <c r="F144" s="4">
        <f t="shared" ca="1" si="63"/>
        <v>7.7777777777777779E-2</v>
      </c>
      <c r="G144" s="4" t="str" cm="1">
        <f t="array" aca="1" ref="G144" ca="1">_xlfn.IFS(D144=$D$6,"Doblada",D144=$D$7,"Doblada Vibrosound",D144=$D$8,"Doblada Proyección Láser",D144=$D$9,"Subtitulada Vibrosound Proyección Láser")</f>
        <v>Doblada Proyección Láser</v>
      </c>
      <c r="H144" s="7">
        <f t="shared" ca="1" si="116"/>
        <v>0.45833333333333331</v>
      </c>
      <c r="I144" s="7">
        <f t="shared" ref="I144:L144" ca="1" si="119">CEILING(H144+$F144,"0:10")</f>
        <v>0.54166666666666663</v>
      </c>
      <c r="J144" s="7">
        <f t="shared" ca="1" si="119"/>
        <v>0.625</v>
      </c>
      <c r="K144" s="7">
        <f t="shared" ca="1" si="119"/>
        <v>0.70833333333333326</v>
      </c>
      <c r="L144" s="7">
        <f t="shared" ca="1" si="119"/>
        <v>0.79166666666666663</v>
      </c>
      <c r="M144" s="6">
        <f t="shared" ca="1" si="65"/>
        <v>5</v>
      </c>
      <c r="N144" t="str">
        <f t="shared" ca="1" si="66"/>
        <v>JÓVENES / ADULTOS</v>
      </c>
    </row>
    <row r="145" spans="1:14" x14ac:dyDescent="0.3">
      <c r="E145" s="4"/>
      <c r="F145" s="4"/>
      <c r="G145" s="4"/>
      <c r="H145" s="7"/>
      <c r="I145" s="7"/>
      <c r="J145" s="7"/>
      <c r="K145" s="7"/>
      <c r="L145" s="7"/>
      <c r="M145" s="6"/>
    </row>
    <row r="146" spans="1:14" x14ac:dyDescent="0.3">
      <c r="A146" s="3" t="s">
        <v>58</v>
      </c>
      <c r="B146" s="3">
        <v>1</v>
      </c>
      <c r="C146" s="3">
        <v>208</v>
      </c>
      <c r="D146" t="str" cm="1">
        <f t="array" aca="1" ref="D146" ca="1">IF(COUNTIF(Star_Chimbote,_xlfn.MODE.MULT(Star_Chimbote))=COUNT(Star_Chimbote),INDEX($D$6:$D$9,RANDBETWEEN(1,COUNTA($D$6:$D$9))),_xlfn.IFS(AND(C146&gt;=50,C146&lt;100),$D$6,AND(C146&gt;=100,C146&lt;150),$D$7,AND(C146&gt;=150,C146&lt;200),$D$8,AND(C146&gt;=200,C146&lt;300),$D$9))</f>
        <v>MARTY SUPREMO</v>
      </c>
      <c r="E146" s="4" t="str">
        <f t="shared" ref="E146:E167" ca="1" si="120">+VLOOKUP(D146,$D$6:$E$25,2,FALSE)</f>
        <v>DRAMA</v>
      </c>
      <c r="F146" s="4">
        <f t="shared" ref="F146:F167" ca="1" si="121">+VLOOKUP(D146,$D$5:$G$25,4,FALSE)</f>
        <v>0.11805555555555557</v>
      </c>
      <c r="G146" s="4" t="str" cm="1">
        <f t="array" aca="1" ref="G146" ca="1">_xlfn.IFS(D146=$D$6,"Doblada",D146=$D$7,"Doblada Vibrosound",D146=$D$8,"Doblada Proyección Láser",D146=$D$9,"Subtitulada Vibrosound Proyección Láser")</f>
        <v>Subtitulada Vibrosound Proyección Láser</v>
      </c>
      <c r="H146" s="7">
        <f t="shared" ca="1" si="116"/>
        <v>0.45833333333333331</v>
      </c>
      <c r="I146" s="7">
        <f t="shared" ref="I146:L146" ca="1" si="122">CEILING(H146+$F146,"0:10")</f>
        <v>0.57638888888888884</v>
      </c>
      <c r="J146" s="7">
        <f t="shared" ca="1" si="122"/>
        <v>0.69444444444444442</v>
      </c>
      <c r="K146" s="7">
        <f t="shared" ca="1" si="122"/>
        <v>0.8125</v>
      </c>
      <c r="L146" s="7">
        <f t="shared" ca="1" si="122"/>
        <v>0.93055555555555547</v>
      </c>
      <c r="M146" s="6">
        <f t="shared" ref="M146:M166" ca="1" si="123">+COUNTA(H146:L146)</f>
        <v>5</v>
      </c>
      <c r="N146" t="str">
        <f t="shared" ref="N146:N167" ca="1" si="124">+VLOOKUP(D146,$D$6:$F$25,3,FALSE)</f>
        <v>ADULTOS</v>
      </c>
    </row>
    <row r="147" spans="1:14" x14ac:dyDescent="0.3">
      <c r="A147" s="3" t="s">
        <v>58</v>
      </c>
      <c r="B147" s="3">
        <v>2</v>
      </c>
      <c r="C147" s="3">
        <v>208</v>
      </c>
      <c r="D147" t="str" cm="1">
        <f t="array" aca="1" ref="D147" ca="1">IF(COUNTIF(Star_Chimbote,_xlfn.MODE.MULT(Star_Chimbote))=COUNT(Star_Chimbote),INDEX($D$6:$D$9,RANDBETWEEN(1,COUNTA($D$6:$D$9))),_xlfn.IFS(AND(C147&gt;=50,C147&lt;100),$D$6,AND(C147&gt;=100,C147&lt;150),$D$7,AND(C147&gt;=150,C147&lt;200),$D$8,AND(C147&gt;=200,C147&lt;300),$D$9))</f>
        <v>MARTY SUPREMO</v>
      </c>
      <c r="E147" s="4" t="str">
        <f t="shared" ca="1" si="120"/>
        <v>DRAMA</v>
      </c>
      <c r="F147" s="4">
        <f t="shared" ca="1" si="121"/>
        <v>0.11805555555555557</v>
      </c>
      <c r="G147" s="4" t="str" cm="1">
        <f t="array" aca="1" ref="G147" ca="1">_xlfn.IFS(D147=$D$6,"Doblada",D147=$D$7,"Doblada Vibrosound",D147=$D$8,"Doblada Proyección Láser",D147=$D$9,"Subtitulada Vibrosound Proyección Láser")</f>
        <v>Subtitulada Vibrosound Proyección Láser</v>
      </c>
      <c r="H147" s="7">
        <f t="shared" ca="1" si="116"/>
        <v>0.45833333333333331</v>
      </c>
      <c r="I147" s="7">
        <f t="shared" ref="I147:L147" ca="1" si="125">CEILING(H147+$F147,"0:10")</f>
        <v>0.57638888888888884</v>
      </c>
      <c r="J147" s="7">
        <f t="shared" ca="1" si="125"/>
        <v>0.69444444444444442</v>
      </c>
      <c r="K147" s="7">
        <f t="shared" ca="1" si="125"/>
        <v>0.8125</v>
      </c>
      <c r="L147" s="7">
        <f t="shared" ca="1" si="125"/>
        <v>0.93055555555555547</v>
      </c>
      <c r="M147" s="6">
        <f t="shared" ca="1" si="123"/>
        <v>5</v>
      </c>
      <c r="N147" t="str">
        <f t="shared" ca="1" si="124"/>
        <v>ADULTOS</v>
      </c>
    </row>
    <row r="148" spans="1:14" x14ac:dyDescent="0.3">
      <c r="A148" s="3" t="s">
        <v>58</v>
      </c>
      <c r="B148" s="3">
        <v>3</v>
      </c>
      <c r="C148" s="3">
        <v>57</v>
      </c>
      <c r="D148" t="str" cm="1">
        <f t="array" aca="1" ref="D148" ca="1">IF(COUNTIF(Star_Chimbote,_xlfn.MODE.MULT(Star_Chimbote))=COUNT(Star_Chimbote),INDEX($D$6:$D$9,RANDBETWEEN(1,COUNTA($D$6:$D$9))),_xlfn.IFS(AND(C148&gt;=50,C148&lt;100),$D$6,AND(C148&gt;=100,C148&lt;150),$D$7,AND(C148&gt;=150,C148&lt;200),$D$8,AND(C148&gt;=200,C148&lt;300),$D$9))</f>
        <v>MOON MI AMIGO EL PANDA</v>
      </c>
      <c r="E148" s="4" t="str">
        <f t="shared" ca="1" si="120"/>
        <v>FAMILIAR</v>
      </c>
      <c r="F148" s="4">
        <f t="shared" ca="1" si="121"/>
        <v>8.3333333333333343E-2</v>
      </c>
      <c r="G148" s="4" t="str" cm="1">
        <f t="array" aca="1" ref="G148" ca="1">_xlfn.IFS(D148=$D$6,"Doblada",D148=$D$7,"Doblada Vibrosound",D148=$D$8,"Doblada Proyección Láser",D148=$D$9,"Subtitulada Vibrosound Proyección Láser")</f>
        <v>Doblada</v>
      </c>
      <c r="H148" s="7">
        <f t="shared" ca="1" si="116"/>
        <v>0.4375</v>
      </c>
      <c r="I148" s="7">
        <f t="shared" ref="I148:L148" ca="1" si="126">CEILING(H148+$F148,"0:10")</f>
        <v>0.52083333333333326</v>
      </c>
      <c r="J148" s="7">
        <f t="shared" ca="1" si="126"/>
        <v>0.60416666666666663</v>
      </c>
      <c r="K148" s="7">
        <f t="shared" ca="1" si="126"/>
        <v>0.6875</v>
      </c>
      <c r="L148" s="7">
        <f t="shared" ca="1" si="126"/>
        <v>0.77083333333333326</v>
      </c>
      <c r="M148" s="6">
        <f t="shared" ca="1" si="123"/>
        <v>5</v>
      </c>
      <c r="N148" t="str">
        <f t="shared" ca="1" si="124"/>
        <v>NIÑOS</v>
      </c>
    </row>
    <row r="149" spans="1:14" x14ac:dyDescent="0.3">
      <c r="A149" s="3" t="s">
        <v>58</v>
      </c>
      <c r="B149" s="3">
        <v>4</v>
      </c>
      <c r="C149" s="3">
        <v>288</v>
      </c>
      <c r="D149" t="str" cm="1">
        <f t="array" aca="1" ref="D149" ca="1">IF(COUNTIF(Star_Chimbote,_xlfn.MODE.MULT(Star_Chimbote))=COUNT(Star_Chimbote),INDEX($D$6:$D$9,RANDBETWEEN(1,COUNTA($D$6:$D$9))),_xlfn.IFS(AND(C149&gt;=50,C149&lt;100),$D$6,AND(C149&gt;=100,C149&lt;150),$D$7,AND(C149&gt;=150,C149&lt;200),$D$8,AND(C149&gt;=200,C149&lt;300),$D$9))</f>
        <v>MARTY SUPREMO</v>
      </c>
      <c r="E149" s="4" t="str">
        <f t="shared" ca="1" si="120"/>
        <v>DRAMA</v>
      </c>
      <c r="F149" s="4">
        <f t="shared" ca="1" si="121"/>
        <v>0.11805555555555557</v>
      </c>
      <c r="G149" s="4" t="str" cm="1">
        <f t="array" aca="1" ref="G149" ca="1">_xlfn.IFS(D149=$D$6,"Doblada",D149=$D$7,"Doblada Vibrosound",D149=$D$8,"Doblada Proyección Láser",D149=$D$9,"Subtitulada Vibrosound Proyección Láser")</f>
        <v>Subtitulada Vibrosound Proyección Láser</v>
      </c>
      <c r="H149" s="7">
        <f t="shared" ca="1" si="116"/>
        <v>0.45833333333333331</v>
      </c>
      <c r="I149" s="7">
        <f t="shared" ref="I149:L149" ca="1" si="127">CEILING(H149+$F149,"0:10")</f>
        <v>0.57638888888888884</v>
      </c>
      <c r="J149" s="7">
        <f t="shared" ca="1" si="127"/>
        <v>0.69444444444444442</v>
      </c>
      <c r="K149" s="7">
        <f t="shared" ca="1" si="127"/>
        <v>0.8125</v>
      </c>
      <c r="L149" s="7">
        <f t="shared" ca="1" si="127"/>
        <v>0.93055555555555547</v>
      </c>
      <c r="M149" s="6">
        <f t="shared" ca="1" si="123"/>
        <v>5</v>
      </c>
      <c r="N149" t="str">
        <f t="shared" ca="1" si="124"/>
        <v>ADULTOS</v>
      </c>
    </row>
    <row r="150" spans="1:14" x14ac:dyDescent="0.3">
      <c r="E150" s="4"/>
      <c r="F150" s="4"/>
      <c r="G150" s="4"/>
      <c r="H150" s="7"/>
      <c r="I150" s="7">
        <f t="shared" ref="I150:L150" si="128">CEILING(H150+$F150,"0:10")</f>
        <v>0</v>
      </c>
      <c r="J150" s="7">
        <f t="shared" si="128"/>
        <v>0</v>
      </c>
      <c r="K150" s="7">
        <f t="shared" si="128"/>
        <v>0</v>
      </c>
      <c r="L150" s="7">
        <f t="shared" si="128"/>
        <v>0</v>
      </c>
      <c r="M150" s="6"/>
    </row>
    <row r="151" spans="1:14" x14ac:dyDescent="0.3">
      <c r="A151" s="3" t="s">
        <v>59</v>
      </c>
      <c r="B151" s="3">
        <v>1</v>
      </c>
      <c r="C151" s="3">
        <v>152</v>
      </c>
      <c r="D151" t="str" cm="1">
        <f t="array" aca="1" ref="D151" ca="1">IF(COUNTIF(Star_Ayacucho,_xlfn.MODE.MULT(Star_Ayacucho))=COUNT(Star_Ayacucho),INDEX($D$6:$D$9,RANDBETWEEN(1,COUNTA($D$6:$D$9))),_xlfn.IFS(AND(C151&gt;=50,C151&lt;100),$D$6,AND(C151&gt;=100,C151&lt;150),$D$7,AND(C151&gt;=150,C151&lt;200),$D$8,AND(C151&gt;=200,C151&lt;300),$D$9))</f>
        <v>STREAMING PARANORMAL</v>
      </c>
      <c r="E151" s="4" t="str">
        <f t="shared" ca="1" si="120"/>
        <v>TERROR</v>
      </c>
      <c r="F151" s="4">
        <f t="shared" ca="1" si="121"/>
        <v>7.7777777777777779E-2</v>
      </c>
      <c r="G151" s="4" t="str" cm="1">
        <f t="array" aca="1" ref="G151" ca="1">_xlfn.IFS(D151=$D$6,"Doblada",D151=$D$7,"Doblada Vibrosound",D151=$D$8,"Doblada Proyección Láser",D151=$D$9,"Subtitulada Vibrosound Proyección Láser")</f>
        <v>Doblada Proyección Láser</v>
      </c>
      <c r="H151" s="7">
        <f t="shared" ca="1" si="116"/>
        <v>0.45833333333333331</v>
      </c>
      <c r="I151" s="7">
        <f t="shared" ref="I151:L151" ca="1" si="129">CEILING(H151+$F151,"0:10")</f>
        <v>0.54166666666666663</v>
      </c>
      <c r="J151" s="7">
        <f t="shared" ca="1" si="129"/>
        <v>0.625</v>
      </c>
      <c r="K151" s="7">
        <f t="shared" ca="1" si="129"/>
        <v>0.70833333333333326</v>
      </c>
      <c r="L151" s="7">
        <f t="shared" ca="1" si="129"/>
        <v>0.79166666666666663</v>
      </c>
      <c r="M151" s="6">
        <f t="shared" ca="1" si="123"/>
        <v>5</v>
      </c>
      <c r="N151" t="str">
        <f t="shared" ca="1" si="124"/>
        <v>JÓVENES / ADULTOS</v>
      </c>
    </row>
    <row r="152" spans="1:14" x14ac:dyDescent="0.3">
      <c r="A152" s="3" t="s">
        <v>59</v>
      </c>
      <c r="B152" s="3">
        <v>2</v>
      </c>
      <c r="C152" s="3">
        <v>263</v>
      </c>
      <c r="D152" t="str" cm="1">
        <f t="array" aca="1" ref="D152" ca="1">IF(COUNTIF(Star_Ayacucho,_xlfn.MODE.MULT(Star_Ayacucho))=COUNT(Star_Ayacucho),INDEX($D$6:$D$9,RANDBETWEEN(1,COUNTA($D$6:$D$9))),_xlfn.IFS(AND(C152&gt;=50,C152&lt;100),$D$6,AND(C152&gt;=100,C152&lt;150),$D$7,AND(C152&gt;=150,C152&lt;200),$D$8,AND(C152&gt;=200,C152&lt;300),$D$9))</f>
        <v>MARTY SUPREMO</v>
      </c>
      <c r="E152" s="4" t="str">
        <f t="shared" ca="1" si="120"/>
        <v>DRAMA</v>
      </c>
      <c r="F152" s="4">
        <f t="shared" ca="1" si="121"/>
        <v>0.11805555555555557</v>
      </c>
      <c r="G152" s="4" t="str" cm="1">
        <f t="array" aca="1" ref="G152" ca="1">_xlfn.IFS(D152=$D$6,"Doblada",D152=$D$7,"Doblada Vibrosound",D152=$D$8,"Doblada Proyección Láser",D152=$D$9,"Subtitulada Vibrosound Proyección Láser")</f>
        <v>Subtitulada Vibrosound Proyección Láser</v>
      </c>
      <c r="H152" s="7">
        <f t="shared" ca="1" si="116"/>
        <v>0.45833333333333331</v>
      </c>
      <c r="I152" s="7">
        <f t="shared" ref="I152:L152" ca="1" si="130">CEILING(H152+$F152,"0:10")</f>
        <v>0.57638888888888884</v>
      </c>
      <c r="J152" s="7">
        <f t="shared" ca="1" si="130"/>
        <v>0.69444444444444442</v>
      </c>
      <c r="K152" s="7">
        <f t="shared" ca="1" si="130"/>
        <v>0.8125</v>
      </c>
      <c r="L152" s="7">
        <f t="shared" ca="1" si="130"/>
        <v>0.93055555555555547</v>
      </c>
      <c r="M152" s="6">
        <f t="shared" ca="1" si="123"/>
        <v>5</v>
      </c>
      <c r="N152" t="str">
        <f t="shared" ca="1" si="124"/>
        <v>ADULTOS</v>
      </c>
    </row>
    <row r="153" spans="1:14" x14ac:dyDescent="0.3">
      <c r="E153" s="4"/>
      <c r="F153" s="4"/>
      <c r="G153" s="4"/>
      <c r="H153" s="7"/>
      <c r="I153" s="7"/>
      <c r="J153" s="7"/>
      <c r="K153" s="7"/>
      <c r="L153" s="7"/>
      <c r="M153" s="6"/>
    </row>
    <row r="154" spans="1:14" x14ac:dyDescent="0.3">
      <c r="A154" s="3" t="s">
        <v>60</v>
      </c>
      <c r="B154" s="3">
        <v>1</v>
      </c>
      <c r="C154" s="3">
        <v>222</v>
      </c>
      <c r="D154" t="str" cm="1">
        <f t="array" aca="1" ref="D154" ca="1">IF(COUNTIF(Star_Tingo_María,_xlfn.MODE.MULT(Star_Tingo_María))=COUNT(Star_Tingo_María),INDEX($D$6:$D$9,RANDBETWEEN(1,COUNTA($D$6:$D$9))),_xlfn.IFS(AND(C154&gt;=50,C154&lt;100),$D$6,AND(C154&gt;=100,C154&lt;150),$D$7,AND(C154&gt;=150,C154&lt;200),$D$8,AND(C154&gt;=200,C154&lt;300),$D$9))</f>
        <v>MOON MI AMIGO EL PANDA</v>
      </c>
      <c r="E154" s="4" t="str">
        <f t="shared" ca="1" si="120"/>
        <v>FAMILIAR</v>
      </c>
      <c r="F154" s="4">
        <f t="shared" ca="1" si="121"/>
        <v>8.3333333333333343E-2</v>
      </c>
      <c r="G154" s="4" t="str" cm="1">
        <f t="array" aca="1" ref="G154" ca="1">_xlfn.IFS(D154=$D$6,"Doblada",D154=$D$7,"Doblada Vibrosound",D154=$D$8,"Doblada Proyección Láser",D154=$D$9,"Subtitulada Vibrosound Proyección Láser")</f>
        <v>Doblada</v>
      </c>
      <c r="H154" s="7">
        <f t="shared" ca="1" si="116"/>
        <v>0.47916666666666669</v>
      </c>
      <c r="I154" s="7">
        <f t="shared" ref="I154:L154" ca="1" si="131">CEILING(H154+$F154,"0:10")</f>
        <v>0.5625</v>
      </c>
      <c r="J154" s="7">
        <f t="shared" ca="1" si="131"/>
        <v>0.64583333333333326</v>
      </c>
      <c r="K154" s="7">
        <f t="shared" ca="1" si="131"/>
        <v>0.72916666666666663</v>
      </c>
      <c r="L154" s="7">
        <f t="shared" ca="1" si="131"/>
        <v>0.8125</v>
      </c>
      <c r="M154" s="6">
        <f t="shared" ca="1" si="123"/>
        <v>5</v>
      </c>
      <c r="N154" t="str">
        <f t="shared" ca="1" si="124"/>
        <v>NIÑOS</v>
      </c>
    </row>
    <row r="155" spans="1:14" x14ac:dyDescent="0.3">
      <c r="A155" s="3" t="s">
        <v>60</v>
      </c>
      <c r="B155" s="3">
        <v>2</v>
      </c>
      <c r="C155" s="3">
        <v>222</v>
      </c>
      <c r="D155" t="str" cm="1">
        <f t="array" aca="1" ref="D155" ca="1">IF(COUNTIF(Star_Tingo_María,_xlfn.MODE.MULT(Star_Tingo_María))=COUNT(Star_Tingo_María),INDEX($D$6:$D$9,RANDBETWEEN(1,COUNTA($D$6:$D$9))),_xlfn.IFS(AND(C155&gt;=50,C155&lt;100),$D$6,AND(C155&gt;=100,C155&lt;150),$D$7,AND(C155&gt;=150,C155&lt;200),$D$8,AND(C155&gt;=200,C155&lt;300),$D$9))</f>
        <v>MOON MI AMIGO EL PANDA</v>
      </c>
      <c r="E155" s="4" t="str">
        <f t="shared" ca="1" si="120"/>
        <v>FAMILIAR</v>
      </c>
      <c r="F155" s="4">
        <f t="shared" ca="1" si="121"/>
        <v>8.3333333333333343E-2</v>
      </c>
      <c r="G155" s="4" t="str" cm="1">
        <f t="array" aca="1" ref="G155" ca="1">_xlfn.IFS(D155=$D$6,"Doblada",D155=$D$7,"Doblada Vibrosound",D155=$D$8,"Doblada Proyección Láser",D155=$D$9,"Subtitulada Vibrosound Proyección Láser")</f>
        <v>Doblada</v>
      </c>
      <c r="H155" s="7">
        <f t="shared" ca="1" si="116"/>
        <v>0.47916666666666669</v>
      </c>
      <c r="I155" s="7">
        <f t="shared" ref="I155:L155" ca="1" si="132">CEILING(H155+$F155,"0:10")</f>
        <v>0.5625</v>
      </c>
      <c r="J155" s="7">
        <f t="shared" ca="1" si="132"/>
        <v>0.64583333333333326</v>
      </c>
      <c r="K155" s="7">
        <f t="shared" ca="1" si="132"/>
        <v>0.72916666666666663</v>
      </c>
      <c r="L155" s="7">
        <f t="shared" ca="1" si="132"/>
        <v>0.8125</v>
      </c>
      <c r="M155" s="6">
        <f t="shared" ca="1" si="123"/>
        <v>5</v>
      </c>
      <c r="N155" t="str">
        <f t="shared" ca="1" si="124"/>
        <v>NIÑOS</v>
      </c>
    </row>
    <row r="156" spans="1:14" x14ac:dyDescent="0.3">
      <c r="E156" s="4"/>
      <c r="F156" s="4"/>
      <c r="G156" s="4"/>
      <c r="H156" s="7"/>
      <c r="I156" s="7"/>
      <c r="J156" s="7"/>
      <c r="K156" s="7"/>
      <c r="L156" s="7"/>
      <c r="M156" s="6"/>
    </row>
    <row r="157" spans="1:14" x14ac:dyDescent="0.3">
      <c r="A157" s="3" t="s">
        <v>61</v>
      </c>
      <c r="B157" s="3">
        <v>1</v>
      </c>
      <c r="C157" s="3">
        <v>171</v>
      </c>
      <c r="D157" t="str" cm="1">
        <f t="array" aca="1" ref="D157" ca="1">IF(COUNTIF(Star_Sullana,_xlfn.MODE.MULT(Star_Sullana))=COUNT(Star_Sullana),INDEX($D$6:$D$9,RANDBETWEEN(1,COUNTA($D$6:$D$9))),_xlfn.IFS(AND(C157&gt;=50,C157&lt;100),$D$6,AND(C157&gt;=100,C157&lt;150),$D$7,AND(C157&gt;=150,C157&lt;200),$D$8,AND(C157&gt;=200,C157&lt;300),$D$9))</f>
        <v>MARTY SUPREMO</v>
      </c>
      <c r="E157" s="4" t="str">
        <f t="shared" ca="1" si="120"/>
        <v>DRAMA</v>
      </c>
      <c r="F157" s="4">
        <f t="shared" ca="1" si="121"/>
        <v>0.11805555555555557</v>
      </c>
      <c r="G157" s="4" t="str" cm="1">
        <f t="array" aca="1" ref="G157" ca="1">_xlfn.IFS(D157=$D$6,"Doblada",D157=$D$7,"Doblada Vibrosound",D157=$D$8,"Doblada Proyección Láser",D157=$D$9,"Subtitulada Vibrosound Proyección Láser")</f>
        <v>Subtitulada Vibrosound Proyección Láser</v>
      </c>
      <c r="H157" s="7">
        <f t="shared" ca="1" si="116"/>
        <v>0.45833333333333331</v>
      </c>
      <c r="I157" s="7">
        <f t="shared" ref="I157:L157" ca="1" si="133">CEILING(H157+$F157,"0:10")</f>
        <v>0.57638888888888884</v>
      </c>
      <c r="J157" s="7">
        <f t="shared" ca="1" si="133"/>
        <v>0.69444444444444442</v>
      </c>
      <c r="K157" s="7">
        <f t="shared" ca="1" si="133"/>
        <v>0.8125</v>
      </c>
      <c r="L157" s="7">
        <f t="shared" ca="1" si="133"/>
        <v>0.93055555555555547</v>
      </c>
      <c r="M157" s="6">
        <f t="shared" ca="1" si="123"/>
        <v>5</v>
      </c>
      <c r="N157" t="str">
        <f t="shared" ca="1" si="124"/>
        <v>ADULTOS</v>
      </c>
    </row>
    <row r="158" spans="1:14" x14ac:dyDescent="0.3">
      <c r="A158" s="3" t="s">
        <v>61</v>
      </c>
      <c r="B158" s="3">
        <v>2</v>
      </c>
      <c r="C158" s="3">
        <v>171</v>
      </c>
      <c r="D158" t="str" cm="1">
        <f t="array" aca="1" ref="D158" ca="1">IF(COUNTIF(Star_Sullana,_xlfn.MODE.MULT(Star_Sullana))=COUNT(Star_Sullana),INDEX($D$6:$D$9,RANDBETWEEN(1,COUNTA($D$6:$D$9))),_xlfn.IFS(AND(C158&gt;=50,C158&lt;100),$D$6,AND(C158&gt;=100,C158&lt;150),$D$7,AND(C158&gt;=150,C158&lt;200),$D$8,AND(C158&gt;=200,C158&lt;300),$D$9))</f>
        <v>MARTY SUPREMO</v>
      </c>
      <c r="E158" s="4" t="str">
        <f t="shared" ca="1" si="120"/>
        <v>DRAMA</v>
      </c>
      <c r="F158" s="4">
        <f t="shared" ca="1" si="121"/>
        <v>0.11805555555555557</v>
      </c>
      <c r="G158" s="4" t="str" cm="1">
        <f t="array" aca="1" ref="G158" ca="1">_xlfn.IFS(D158=$D$6,"Doblada",D158=$D$7,"Doblada Vibrosound",D158=$D$8,"Doblada Proyección Láser",D158=$D$9,"Subtitulada Vibrosound Proyección Láser")</f>
        <v>Subtitulada Vibrosound Proyección Láser</v>
      </c>
      <c r="H158" s="7">
        <f t="shared" ca="1" si="116"/>
        <v>0.45833333333333331</v>
      </c>
      <c r="I158" s="7">
        <f t="shared" ref="I158:L158" ca="1" si="134">CEILING(H158+$F158,"0:10")</f>
        <v>0.57638888888888884</v>
      </c>
      <c r="J158" s="7">
        <f t="shared" ca="1" si="134"/>
        <v>0.69444444444444442</v>
      </c>
      <c r="K158" s="7">
        <f t="shared" ca="1" si="134"/>
        <v>0.8125</v>
      </c>
      <c r="L158" s="7">
        <f t="shared" ca="1" si="134"/>
        <v>0.93055555555555547</v>
      </c>
      <c r="M158" s="6">
        <f t="shared" ca="1" si="123"/>
        <v>5</v>
      </c>
      <c r="N158" t="str">
        <f t="shared" ca="1" si="124"/>
        <v>ADULTOS</v>
      </c>
    </row>
    <row r="159" spans="1:14" x14ac:dyDescent="0.3">
      <c r="A159" s="3" t="s">
        <v>61</v>
      </c>
      <c r="B159" s="3">
        <v>3</v>
      </c>
      <c r="C159" s="3">
        <v>171</v>
      </c>
      <c r="D159" t="str" cm="1">
        <f t="array" aca="1" ref="D159" ca="1">IF(COUNTIF(Star_Sullana,_xlfn.MODE.MULT(Star_Sullana))=COUNT(Star_Sullana),INDEX($D$6:$D$9,RANDBETWEEN(1,COUNTA($D$6:$D$9))),_xlfn.IFS(AND(C159&gt;=50,C159&lt;100),$D$6,AND(C159&gt;=100,C159&lt;150),$D$7,AND(C159&gt;=150,C159&lt;200),$D$8,AND(C159&gt;=200,C159&lt;300),$D$9))</f>
        <v>MARTY SUPREMO</v>
      </c>
      <c r="E159" s="4" t="str">
        <f t="shared" ca="1" si="120"/>
        <v>DRAMA</v>
      </c>
      <c r="F159" s="4">
        <f t="shared" ca="1" si="121"/>
        <v>0.11805555555555557</v>
      </c>
      <c r="G159" s="4" t="str" cm="1">
        <f t="array" aca="1" ref="G159" ca="1">_xlfn.IFS(D159=$D$6,"Doblada",D159=$D$7,"Doblada Vibrosound",D159=$D$8,"Doblada Proyección Láser",D159=$D$9,"Subtitulada Vibrosound Proyección Láser")</f>
        <v>Subtitulada Vibrosound Proyección Láser</v>
      </c>
      <c r="H159" s="7">
        <f t="shared" ca="1" si="116"/>
        <v>0.45833333333333331</v>
      </c>
      <c r="I159" s="7">
        <f t="shared" ref="I159:L159" ca="1" si="135">CEILING(H159+$F159,"0:10")</f>
        <v>0.57638888888888884</v>
      </c>
      <c r="J159" s="7">
        <f t="shared" ca="1" si="135"/>
        <v>0.69444444444444442</v>
      </c>
      <c r="K159" s="7">
        <f t="shared" ca="1" si="135"/>
        <v>0.8125</v>
      </c>
      <c r="L159" s="7">
        <f t="shared" ca="1" si="135"/>
        <v>0.93055555555555547</v>
      </c>
      <c r="M159" s="6">
        <f t="shared" ca="1" si="123"/>
        <v>5</v>
      </c>
      <c r="N159" t="str">
        <f t="shared" ca="1" si="124"/>
        <v>ADULTOS</v>
      </c>
    </row>
    <row r="160" spans="1:14" x14ac:dyDescent="0.3">
      <c r="A160" s="3" t="s">
        <v>61</v>
      </c>
      <c r="B160" s="3">
        <v>4</v>
      </c>
      <c r="C160" s="3">
        <v>171</v>
      </c>
      <c r="D160" t="str" cm="1">
        <f t="array" aca="1" ref="D160" ca="1">IF(COUNTIF(Star_Sullana,_xlfn.MODE.MULT(Star_Sullana))=COUNT(Star_Sullana),INDEX($D$6:$D$9,RANDBETWEEN(1,COUNTA($D$6:$D$9))),_xlfn.IFS(AND(C160&gt;=50,C160&lt;100),$D$6,AND(C160&gt;=100,C160&lt;150),$D$7,AND(C160&gt;=150,C160&lt;200),$D$8,AND(C160&gt;=200,C160&lt;300),$D$9))</f>
        <v>MOON MI AMIGO EL PANDA</v>
      </c>
      <c r="E160" s="4" t="str">
        <f t="shared" ca="1" si="120"/>
        <v>FAMILIAR</v>
      </c>
      <c r="F160" s="4">
        <f t="shared" ca="1" si="121"/>
        <v>8.3333333333333343E-2</v>
      </c>
      <c r="G160" s="4" t="str" cm="1">
        <f t="array" aca="1" ref="G160" ca="1">_xlfn.IFS(D160=$D$6,"Doblada",D160=$D$7,"Doblada Vibrosound",D160=$D$8,"Doblada Proyección Láser",D160=$D$9,"Subtitulada Vibrosound Proyección Láser")</f>
        <v>Doblada</v>
      </c>
      <c r="H160" s="7">
        <f t="shared" ca="1" si="116"/>
        <v>0.4375</v>
      </c>
      <c r="I160" s="7">
        <f t="shared" ref="I160:L160" ca="1" si="136">CEILING(H160+$F160,"0:10")</f>
        <v>0.52083333333333326</v>
      </c>
      <c r="J160" s="7">
        <f t="shared" ca="1" si="136"/>
        <v>0.60416666666666663</v>
      </c>
      <c r="K160" s="7">
        <f t="shared" ca="1" si="136"/>
        <v>0.6875</v>
      </c>
      <c r="L160" s="7">
        <f t="shared" ca="1" si="136"/>
        <v>0.77083333333333326</v>
      </c>
      <c r="M160" s="6">
        <f t="shared" ca="1" si="123"/>
        <v>5</v>
      </c>
      <c r="N160" t="str">
        <f t="shared" ca="1" si="124"/>
        <v>NIÑOS</v>
      </c>
    </row>
    <row r="161" spans="1:14" x14ac:dyDescent="0.3">
      <c r="E161" s="4"/>
      <c r="F161" s="4"/>
      <c r="G161" s="4"/>
      <c r="H161" s="7"/>
      <c r="I161" s="7"/>
      <c r="J161" s="7"/>
      <c r="K161" s="7"/>
      <c r="L161" s="7"/>
      <c r="M161" s="6"/>
    </row>
    <row r="162" spans="1:14" x14ac:dyDescent="0.3">
      <c r="A162" s="3" t="s">
        <v>62</v>
      </c>
      <c r="B162" s="3">
        <v>1</v>
      </c>
      <c r="C162" s="3">
        <v>176</v>
      </c>
      <c r="D162" t="str" cm="1">
        <f t="array" aca="1" ref="D162" ca="1">IF(COUNTIF(Star_Tarapoto,_xlfn.MODE.MULT(Star_Tarapoto))=COUNT(Star_Tarapoto),INDEX($D$6:$D$9,RANDBETWEEN(1,COUNTA($D$6:$D$9))),_xlfn.IFS(AND(C162&gt;=50,C162&lt;100),$D$6,AND(C162&gt;=100,C162&lt;150),$D$7,AND(C162&gt;=150,C162&lt;200),$D$8,AND(C162&gt;=200,C162&lt;300),$D$9))</f>
        <v>STREAMING PARANORMAL</v>
      </c>
      <c r="E162" s="4" t="str">
        <f t="shared" ca="1" si="120"/>
        <v>TERROR</v>
      </c>
      <c r="F162" s="4">
        <f t="shared" ca="1" si="121"/>
        <v>7.7777777777777779E-2</v>
      </c>
      <c r="G162" s="4" t="str" cm="1">
        <f t="array" aca="1" ref="G162" ca="1">_xlfn.IFS(D162=$D$6,"Doblada",D162=$D$7,"Doblada Vibrosound",D162=$D$8,"Doblada Proyección Láser",D162=$D$9,"Subtitulada Vibrosound Proyección Láser")</f>
        <v>Doblada Proyección Láser</v>
      </c>
      <c r="H162" s="7">
        <f t="shared" ca="1" si="116"/>
        <v>0.5</v>
      </c>
      <c r="I162" s="7">
        <f t="shared" ref="I162:L162" ca="1" si="137">CEILING(H162+$F162,"0:10")</f>
        <v>0.58333333333333326</v>
      </c>
      <c r="J162" s="7">
        <f t="shared" ca="1" si="137"/>
        <v>0.66666666666666663</v>
      </c>
      <c r="K162" s="7">
        <f t="shared" ca="1" si="137"/>
        <v>0.75</v>
      </c>
      <c r="L162" s="7">
        <f t="shared" ca="1" si="137"/>
        <v>0.83333333333333326</v>
      </c>
      <c r="M162" s="6">
        <f t="shared" ca="1" si="123"/>
        <v>5</v>
      </c>
      <c r="N162" t="str">
        <f t="shared" ca="1" si="124"/>
        <v>JÓVENES / ADULTOS</v>
      </c>
    </row>
    <row r="163" spans="1:14" x14ac:dyDescent="0.3">
      <c r="A163" s="3" t="s">
        <v>62</v>
      </c>
      <c r="B163" s="3">
        <v>2</v>
      </c>
      <c r="C163" s="3">
        <v>215</v>
      </c>
      <c r="D163" t="str" cm="1">
        <f t="array" aca="1" ref="D163" ca="1">IF(COUNTIF(Star_Tarapoto,_xlfn.MODE.MULT(Star_Tarapoto))=COUNT(Star_Tarapoto),INDEX($D$6:$D$9,RANDBETWEEN(1,COUNTA($D$6:$D$9))),_xlfn.IFS(AND(C163&gt;=50,C163&lt;100),$D$6,AND(C163&gt;=100,C163&lt;150),$D$7,AND(C163&gt;=150,C163&lt;200),$D$8,AND(C163&gt;=200,C163&lt;300),$D$9))</f>
        <v>MARTY SUPREMO</v>
      </c>
      <c r="E163" s="4" t="str">
        <f t="shared" ca="1" si="120"/>
        <v>DRAMA</v>
      </c>
      <c r="F163" s="4">
        <f t="shared" ca="1" si="121"/>
        <v>0.11805555555555557</v>
      </c>
      <c r="G163" s="4" t="str" cm="1">
        <f t="array" aca="1" ref="G163" ca="1">_xlfn.IFS(D163=$D$6,"Doblada",D163=$D$7,"Doblada Vibrosound",D163=$D$8,"Doblada Proyección Láser",D163=$D$9,"Subtitulada Vibrosound Proyección Láser")</f>
        <v>Subtitulada Vibrosound Proyección Láser</v>
      </c>
      <c r="H163" s="7">
        <f t="shared" ca="1" si="116"/>
        <v>0.5</v>
      </c>
      <c r="I163" s="7">
        <f t="shared" ref="I163:L163" ca="1" si="138">CEILING(H163+$F163,"0:10")</f>
        <v>0.61805555555555547</v>
      </c>
      <c r="J163" s="7">
        <f t="shared" ca="1" si="138"/>
        <v>0.73611111111111105</v>
      </c>
      <c r="K163" s="7">
        <f t="shared" ca="1" si="138"/>
        <v>0.85416666666666663</v>
      </c>
      <c r="L163" s="7">
        <f t="shared" ca="1" si="138"/>
        <v>0.97222222222222221</v>
      </c>
      <c r="M163" s="6">
        <f t="shared" ca="1" si="123"/>
        <v>5</v>
      </c>
      <c r="N163" t="str">
        <f t="shared" ca="1" si="124"/>
        <v>ADULTOS</v>
      </c>
    </row>
    <row r="164" spans="1:14" x14ac:dyDescent="0.3">
      <c r="A164" s="3" t="s">
        <v>62</v>
      </c>
      <c r="B164" s="3">
        <v>3</v>
      </c>
      <c r="C164" s="3">
        <v>92</v>
      </c>
      <c r="D164" t="str" cm="1">
        <f t="array" aca="1" ref="D164" ca="1">IF(COUNTIF(Star_Tarapoto,_xlfn.MODE.MULT(Star_Tarapoto))=COUNT(Star_Tarapoto),INDEX($D$6:$D$9,RANDBETWEEN(1,COUNTA($D$6:$D$9))),_xlfn.IFS(AND(C164&gt;=50,C164&lt;100),$D$6,AND(C164&gt;=100,C164&lt;150),$D$7,AND(C164&gt;=150,C164&lt;200),$D$8,AND(C164&gt;=200,C164&lt;300),$D$9))</f>
        <v>MOON MI AMIGO EL PANDA</v>
      </c>
      <c r="E164" s="4" t="str">
        <f t="shared" ca="1" si="120"/>
        <v>FAMILIAR</v>
      </c>
      <c r="F164" s="4">
        <f t="shared" ca="1" si="121"/>
        <v>8.3333333333333343E-2</v>
      </c>
      <c r="G164" s="4" t="str" cm="1">
        <f t="array" aca="1" ref="G164" ca="1">_xlfn.IFS(D164=$D$6,"Doblada",D164=$D$7,"Doblada Vibrosound",D164=$D$8,"Doblada Proyección Láser",D164=$D$9,"Subtitulada Vibrosound Proyección Láser")</f>
        <v>Doblada</v>
      </c>
      <c r="H164" s="7">
        <f t="shared" ca="1" si="116"/>
        <v>0.47916666666666669</v>
      </c>
      <c r="I164" s="7">
        <f t="shared" ref="I164:L164" ca="1" si="139">CEILING(H164+$F164,"0:10")</f>
        <v>0.5625</v>
      </c>
      <c r="J164" s="7">
        <f t="shared" ca="1" si="139"/>
        <v>0.64583333333333326</v>
      </c>
      <c r="K164" s="7">
        <f t="shared" ca="1" si="139"/>
        <v>0.72916666666666663</v>
      </c>
      <c r="L164" s="7">
        <f t="shared" ca="1" si="139"/>
        <v>0.8125</v>
      </c>
      <c r="M164" s="6">
        <f t="shared" ca="1" si="123"/>
        <v>5</v>
      </c>
      <c r="N164" t="str">
        <f t="shared" ca="1" si="124"/>
        <v>NIÑOS</v>
      </c>
    </row>
    <row r="165" spans="1:14" x14ac:dyDescent="0.3">
      <c r="A165" s="3" t="s">
        <v>62</v>
      </c>
      <c r="B165" s="3">
        <v>4</v>
      </c>
      <c r="C165" s="3">
        <v>187</v>
      </c>
      <c r="D165" t="str" cm="1">
        <f t="array" aca="1" ref="D165" ca="1">IF(COUNTIF(Star_Tarapoto,_xlfn.MODE.MULT(Star_Tarapoto))=COUNT(Star_Tarapoto),INDEX($D$6:$D$9,RANDBETWEEN(1,COUNTA($D$6:$D$9))),_xlfn.IFS(AND(C165&gt;=50,C165&lt;100),$D$6,AND(C165&gt;=100,C165&lt;150),$D$7,AND(C165&gt;=150,C165&lt;200),$D$8,AND(C165&gt;=200,C165&lt;300),$D$9))</f>
        <v>STREAMING PARANORMAL</v>
      </c>
      <c r="E165" s="4" t="str">
        <f t="shared" ca="1" si="120"/>
        <v>TERROR</v>
      </c>
      <c r="F165" s="4">
        <f t="shared" ca="1" si="121"/>
        <v>7.7777777777777779E-2</v>
      </c>
      <c r="G165" s="4" t="str" cm="1">
        <f t="array" aca="1" ref="G165" ca="1">_xlfn.IFS(D165=$D$6,"Doblada",D165=$D$7,"Doblada Vibrosound",D165=$D$8,"Doblada Proyección Láser",D165=$D$9,"Subtitulada Vibrosound Proyección Láser")</f>
        <v>Doblada Proyección Láser</v>
      </c>
      <c r="H165" s="7">
        <f t="shared" ca="1" si="116"/>
        <v>0.5</v>
      </c>
      <c r="I165" s="7">
        <f t="shared" ref="I165:L165" ca="1" si="140">CEILING(H165+$F165,"0:10")</f>
        <v>0.58333333333333326</v>
      </c>
      <c r="J165" s="7">
        <f t="shared" ca="1" si="140"/>
        <v>0.66666666666666663</v>
      </c>
      <c r="K165" s="7">
        <f t="shared" ca="1" si="140"/>
        <v>0.75</v>
      </c>
      <c r="L165" s="7">
        <f t="shared" ca="1" si="140"/>
        <v>0.83333333333333326</v>
      </c>
      <c r="M165" s="6">
        <f t="shared" ca="1" si="123"/>
        <v>5</v>
      </c>
      <c r="N165" t="str">
        <f t="shared" ca="1" si="124"/>
        <v>JÓVENES / ADULTOS</v>
      </c>
    </row>
    <row r="166" spans="1:14" x14ac:dyDescent="0.3">
      <c r="A166" s="3" t="s">
        <v>62</v>
      </c>
      <c r="B166" s="3">
        <v>5</v>
      </c>
      <c r="C166" s="3">
        <v>215</v>
      </c>
      <c r="D166" t="str" cm="1">
        <f t="array" aca="1" ref="D166" ca="1">IF(COUNTIF(Star_Tarapoto,_xlfn.MODE.MULT(Star_Tarapoto))=COUNT(Star_Tarapoto),INDEX($D$6:$D$9,RANDBETWEEN(1,COUNTA($D$6:$D$9))),_xlfn.IFS(AND(C166&gt;=50,C166&lt;100),$D$6,AND(C166&gt;=100,C166&lt;150),$D$7,AND(C166&gt;=150,C166&lt;200),$D$8,AND(C166&gt;=200,C166&lt;300),$D$9))</f>
        <v>MARTY SUPREMO</v>
      </c>
      <c r="E166" s="4" t="str">
        <f t="shared" ca="1" si="120"/>
        <v>DRAMA</v>
      </c>
      <c r="F166" s="4">
        <f t="shared" ca="1" si="121"/>
        <v>0.11805555555555557</v>
      </c>
      <c r="G166" s="4" t="str" cm="1">
        <f t="array" aca="1" ref="G166" ca="1">_xlfn.IFS(D166=$D$6,"Doblada",D166=$D$7,"Doblada Vibrosound",D166=$D$8,"Doblada Proyección Láser",D166=$D$9,"Subtitulada Vibrosound Proyección Láser")</f>
        <v>Subtitulada Vibrosound Proyección Láser</v>
      </c>
      <c r="H166" s="7">
        <f t="shared" ca="1" si="116"/>
        <v>0.5</v>
      </c>
      <c r="I166" s="7">
        <f t="shared" ref="I166:L166" ca="1" si="141">CEILING(H166+$F166,"0:10")</f>
        <v>0.61805555555555547</v>
      </c>
      <c r="J166" s="7">
        <f t="shared" ca="1" si="141"/>
        <v>0.73611111111111105</v>
      </c>
      <c r="K166" s="7">
        <f t="shared" ca="1" si="141"/>
        <v>0.85416666666666663</v>
      </c>
      <c r="L166" s="7">
        <f t="shared" ca="1" si="141"/>
        <v>0.97222222222222221</v>
      </c>
      <c r="M166" s="6">
        <f t="shared" ca="1" si="123"/>
        <v>5</v>
      </c>
      <c r="N166" t="str">
        <f t="shared" ca="1" si="124"/>
        <v>ADULTOS</v>
      </c>
    </row>
    <row r="167" spans="1:14" x14ac:dyDescent="0.3">
      <c r="A167" s="3" t="s">
        <v>62</v>
      </c>
      <c r="B167" s="3">
        <v>6</v>
      </c>
      <c r="C167" s="3">
        <v>215</v>
      </c>
      <c r="D167" t="str" cm="1">
        <f t="array" aca="1" ref="D167" ca="1">IF(COUNTIF(Star_Tarapoto,_xlfn.MODE.MULT(Star_Tarapoto))=COUNT(Star_Tarapoto),INDEX($D$6:$D$9,RANDBETWEEN(1,COUNTA($D$6:$D$9))),_xlfn.IFS(AND(C167&gt;=50,C167&lt;100),$D$6,AND(C167&gt;=100,C167&lt;150),$D$7,AND(C167&gt;=150,C167&lt;200),$D$8,AND(C167&gt;=200,C167&lt;300),$D$9))</f>
        <v>MARTY SUPREMO</v>
      </c>
      <c r="E167" s="4" t="str">
        <f t="shared" ca="1" si="120"/>
        <v>DRAMA</v>
      </c>
      <c r="F167" s="4">
        <f t="shared" ca="1" si="121"/>
        <v>0.11805555555555557</v>
      </c>
      <c r="G167" s="4" t="str" cm="1">
        <f t="array" aca="1" ref="G167" ca="1">_xlfn.IFS(D167=$D$6,"Doblada",D167=$D$7,"Doblada Vibrosound",D167=$D$8,"Doblada Proyección Láser",D167=$D$9,"Subtitulada Vibrosound Proyección Láser")</f>
        <v>Subtitulada Vibrosound Proyección Láser</v>
      </c>
      <c r="H167" s="7">
        <f t="shared" ca="1" si="116"/>
        <v>0.5</v>
      </c>
      <c r="I167" s="7">
        <f t="shared" ref="I167:L167" ca="1" si="142">CEILING(H167+$F167,"0:10")</f>
        <v>0.61805555555555547</v>
      </c>
      <c r="J167" s="7">
        <f t="shared" ca="1" si="142"/>
        <v>0.73611111111111105</v>
      </c>
      <c r="K167" s="7">
        <f t="shared" ca="1" si="142"/>
        <v>0.85416666666666663</v>
      </c>
      <c r="L167" s="7">
        <f t="shared" ca="1" si="142"/>
        <v>0.97222222222222221</v>
      </c>
      <c r="M167" s="6">
        <f ca="1">+COUNTA(H167:L167)</f>
        <v>5</v>
      </c>
      <c r="N167" t="str">
        <f t="shared" ca="1" si="124"/>
        <v>ADULTOS</v>
      </c>
    </row>
  </sheetData>
  <autoFilter ref="A12:N167" xr:uid="{E21C770C-3CDD-4C9D-B8A5-CD33925323E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23</vt:i4>
      </vt:variant>
    </vt:vector>
  </HeadingPairs>
  <TitlesOfParts>
    <vt:vector size="24" baseType="lpstr">
      <vt:lpstr>Hoja1</vt:lpstr>
      <vt:lpstr>Breña</vt:lpstr>
      <vt:lpstr>Comas</vt:lpstr>
      <vt:lpstr>MT_Cajamarca</vt:lpstr>
      <vt:lpstr>MT_Cañete</vt:lpstr>
      <vt:lpstr>MT_Chincha</vt:lpstr>
      <vt:lpstr>MT_Iquitos</vt:lpstr>
      <vt:lpstr>MT_Iquitos_Premium</vt:lpstr>
      <vt:lpstr>MT_Jaen</vt:lpstr>
      <vt:lpstr>MT_Pisco</vt:lpstr>
      <vt:lpstr>Star_Ayacucho</vt:lpstr>
      <vt:lpstr>Star_Chimbote</vt:lpstr>
      <vt:lpstr>Star_Chorrillos</vt:lpstr>
      <vt:lpstr>Star_Chosica</vt:lpstr>
      <vt:lpstr>Star_Excelsior</vt:lpstr>
      <vt:lpstr>Star_Ilo</vt:lpstr>
      <vt:lpstr>Star_Moquegua</vt:lpstr>
      <vt:lpstr>Star_Porteño</vt:lpstr>
      <vt:lpstr>Star_San_Juan</vt:lpstr>
      <vt:lpstr>Star_Sullana</vt:lpstr>
      <vt:lpstr>Star_Sur</vt:lpstr>
      <vt:lpstr>Star_Tarapoto</vt:lpstr>
      <vt:lpstr>Star_Tingo_María</vt:lpstr>
      <vt:lpstr>Star_UNI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 793 793</dc:creator>
  <cp:lastModifiedBy>Alonso Manuel Pérez Guanilo</cp:lastModifiedBy>
  <dcterms:created xsi:type="dcterms:W3CDTF">2026-02-03T20:14:49Z</dcterms:created>
  <dcterms:modified xsi:type="dcterms:W3CDTF">2026-02-18T16:09:53Z</dcterms:modified>
</cp:coreProperties>
</file>